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ะแนนเด็กบท6" sheetId="1" r:id="rId5"/>
    <sheet state="visible" name="คะแนนเด็กบท7" sheetId="2" r:id="rId6"/>
    <sheet state="visible" name="แบบประเมินด้านเทคนิคและการออกแบ" sheetId="3" r:id="rId7"/>
    <sheet state="visible" name="สรุปหาค่า E1E2" sheetId="4" r:id="rId8"/>
    <sheet state="visible" name="สรุปหาค่าสอบก่อน-หลัง" sheetId="5" r:id="rId9"/>
    <sheet state="visible" name="สรุปผลการประเมินด้านเทคนิค" sheetId="6" r:id="rId10"/>
  </sheets>
  <definedNames/>
  <calcPr/>
</workbook>
</file>

<file path=xl/sharedStrings.xml><?xml version="1.0" encoding="utf-8"?>
<sst xmlns="http://schemas.openxmlformats.org/spreadsheetml/2006/main" count="1008" uniqueCount="291">
  <si>
    <t>ประทับเวลา</t>
  </si>
  <si>
    <t xml:space="preserve">  รายงานข้อมูลและผลคะแนนการเรียนรู้ของนักศึกษา (Student Performance Report)</t>
  </si>
  <si>
    <t>สรุปผลการวิจัย — ประสิทธิภาพ (E1/E2) 70/70 และการเปรียบเทียบผลสัมฤทธิ์ทางการเรียน</t>
  </si>
  <si>
    <t>ชื่อ-นามสกุล</t>
  </si>
  <si>
    <t>ด้านการทำงานและประสิทธิภาพของระบบ [บทเรียนออนไลน์สามารถแสดงผลและทำงานได้อย่างถูกต้องและต่อเนื่อง]</t>
  </si>
  <si>
    <t>ด้านการทำงานและประสิทธิภาพของระบบ [บทเรียนออนไลน์สามารถตอบสนองต่อการใช้งานของผู้เรียนได้อย่างรวดเร็วและมีความเสถียร]</t>
  </si>
  <si>
    <t>ด้านการทำงานและประสิทธิภาพของระบบ [ระบบแชทบอทอัจฉริยะสามารถทำงานและตอบสนองต่อการโต้ตอบของผู้เรียนได้อย่างต่อเนื่อง]</t>
  </si>
  <si>
    <t>ด้านการออกแบบส่วนต่อประสานและการนำทาง [การจัดวางองค์ประกอบบนหน้าจอบทเรียนออนไลน์มีความเป็นระเบียบและเหมาะสม]</t>
  </si>
  <si>
    <t>ด้านการออกแบบส่วนต่อประสานและการนำทาง [รูปแบบตัวอักษร ขนาดตัวอักษร สี และองค์ประกอบทางภาพมีความเหมาะสมและช่วยให้สามารถอ่านเนื้อหาได้ชัดเจน]</t>
  </si>
  <si>
    <t>ด้านการออกแบบส่วนต่อประสานและการนำทาง [เมนู ปุ่มคำสั่ง และสัญลักษณ์ มีความชัดเจน สื่อความหมาย และใช้งานได้สะดวก]</t>
  </si>
  <si>
    <t>ด้านการออกแบบและนำเสนอสื่อมัลติมีเดีย [สื่อประกอบในบทเรียนออนไลน์มีความเหมาะสมกับการนำเสนอและช่วยให้การแสดงผลมีความชัดเจน]</t>
  </si>
  <si>
    <t>ด้านการออกแบบและนำเสนอสื่อมัลติมีเดีย [วิดีโอสาธิตสามารถแสดงผลได้อย่างชัดเจนและต่อเนื่อง]</t>
  </si>
  <si>
    <t>ด้านการออกแบบและนำเสนอสื่อมัลติมีเดีย [การจัดวางและผสมผสานข้อความ ภาพ และวิดีโอมีความเหมาะสมและช่วยให้การนำเสนอมีความน่าสนใจ]</t>
  </si>
  <si>
    <t>ด้านการใช้งานและประสบการณ์ของผู้เรียน [ผู้เรียนสามารถใช้งานบทเรียนออนไลน์ได้ง่ายและไม่ต้องผ่านขั้นตอนที่ซับซ้อน]</t>
  </si>
  <si>
    <t>ด้านการใช้งานและประสบการณ์ของผู้เรียน [การใช้งานบทเรียนออนไลน์มีความต่อเนื่องและไม่ทำให้ผู้เรียนเกิดความสับสนในการใช้งาน]</t>
  </si>
  <si>
    <t>ด้านการใช้งานและประสบการณ์ของผู้เรียน [บทเรียนออนไลน์มีรูปแบบการใช้งานที่เอื้อต่อการเรียนรู้และเหมาะสมกับผู้เรียน]</t>
  </si>
  <si>
    <t>ตอนที่ 3 ข้อเสนอแนะเพิ่มเติมในการปรับปรุงแก้ไข</t>
  </si>
  <si>
    <t>นายสัมฤทธิ์ ทองพัฒน์</t>
  </si>
  <si>
    <t>เยี่ยมมากครับ</t>
  </si>
  <si>
    <t>ดร. พุทธิดา สกุลวิริยกิจกุล</t>
  </si>
  <si>
    <t>-</t>
  </si>
  <si>
    <t>ผู้ช่วยศาสตราจารย์ ดร. จิรพันธุ์ ศรีสมพันธุ์</t>
  </si>
  <si>
    <t>การจัดวางองค์ประกอบบนหน้าจอบทเรียนออนไลน์ ยังใช้งานยาก ให้ไปดูตัวอย่าง  AI PASS</t>
  </si>
  <si>
    <t xml:space="preserve">  รายวิชา: บทเรียนที่ 7 การสร้างรายงาน (Report)  |  ส่งออกข้อมูลเมื่อ: 17 กันยายน 2569 เวลา 13:27 น.  |  จำนวนนักศึกษาทั้งหมด: 37 คน</t>
  </si>
  <si>
    <t xml:space="preserve">  รายวิชา: บทเรียนที่ 6 การสร้างฟอร์ม (Form)  |  ส่งออกข้อมูลเมื่อ: 17 กันยายน 2569 เวลา 13:27 น.  |  จำนวนนักศึกษาทั้งหมด: 37 คน</t>
  </si>
  <si>
    <t>รายการ</t>
  </si>
  <si>
    <t>👥 นักศึกษาทั้งหมด</t>
  </si>
  <si>
    <t>ค่าเฉลี่ย/ร้อยละ</t>
  </si>
  <si>
    <t>หมายเหตุ</t>
  </si>
  <si>
    <t>E1 บทที่ 6 (%)</t>
  </si>
  <si>
    <t>📈 ความก้าวหน้าเฉลี่ย</t>
  </si>
  <si>
    <t>🏆 เรียนจบหลักสูตร</t>
  </si>
  <si>
    <t>🟢 กำลังเรียน (Active)</t>
  </si>
  <si>
    <t>🎓 ได้รับประกาศนียบัตร</t>
  </si>
  <si>
    <t>37 คน</t>
  </si>
  <si>
    <t>100.0%</t>
  </si>
  <si>
    <t>0 คน</t>
  </si>
  <si>
    <t>ลงทะเบียนในระบบ</t>
  </si>
  <si>
    <t>ภาพรวมทั้งห้อง</t>
  </si>
  <si>
    <t>E1 บทที่ 7 (%)</t>
  </si>
  <si>
    <t>ผ่านเกณฑ์การเรียน</t>
  </si>
  <si>
    <t>เข้าเรียนสม่ำเสมอ</t>
  </si>
  <si>
    <t>E1 รวม 2 บท (%)</t>
  </si>
  <si>
    <t>ออกใบรับรองแล้ว</t>
  </si>
  <si>
    <t>ลำดับ</t>
  </si>
  <si>
    <t>รหัสนักศึกษา</t>
  </si>
  <si>
    <t>ชื่อ - นามสกุล</t>
  </si>
  <si>
    <t>อีเมล</t>
  </si>
  <si>
    <t>ความก้าวหน้า</t>
  </si>
  <si>
    <t>คะแนนก่อนเรียน
(Pre-test)</t>
  </si>
  <si>
    <t>คะแนนหลังเรียน
(Post-test)</t>
  </si>
  <si>
    <t>พัฒนาการ
(Gain Score)</t>
  </si>
  <si>
    <t>แบบทดสอบย่อย
(Quizzes)</t>
  </si>
  <si>
    <t>คะแนนใบงาน
(Assignments)</t>
  </si>
  <si>
    <t>สถานะผู้เรียน</t>
  </si>
  <si>
    <t>ใบประกาศนียบัตร</t>
  </si>
  <si>
    <t>เต็ม 20 คะแนน</t>
  </si>
  <si>
    <t>เข้าเรียนล่าสุด</t>
  </si>
  <si>
    <t>68219100001</t>
  </si>
  <si>
    <t>001นายกณวรรธน์ วราพุฒ</t>
  </si>
  <si>
    <t>68219100001@svc.ac.th</t>
  </si>
  <si>
    <t>100%</t>
  </si>
  <si>
    <t>5/20</t>
  </si>
  <si>
    <t>13/20</t>
  </si>
  <si>
    <t>+8.0</t>
  </si>
  <si>
    <t>10</t>
  </si>
  <si>
    <t>10/20</t>
  </si>
  <si>
    <t>14/20</t>
  </si>
  <si>
    <t>เรียนจบแล้ว</t>
  </si>
  <si>
    <t>+4.0</t>
  </si>
  <si>
    <t>E2 บทที่ 6 (%)</t>
  </si>
  <si>
    <t>มีประกาศนียบัตร</t>
  </si>
  <si>
    <t>11 ก.ย. 2569 09:43</t>
  </si>
  <si>
    <t>4 ก.ย. 2569 09:26</t>
  </si>
  <si>
    <t>68219100003</t>
  </si>
  <si>
    <t>003นางสาวกัญญพัชร แซ่ล้อ</t>
  </si>
  <si>
    <t>68219100003@svc.ac.th</t>
  </si>
  <si>
    <t>8/20</t>
  </si>
  <si>
    <t>E2 บทที่ 7 (%)</t>
  </si>
  <si>
    <t>+2.0</t>
  </si>
  <si>
    <t>11/20</t>
  </si>
  <si>
    <t>+1.0</t>
  </si>
  <si>
    <t>4 ก.ย. 2569 09:16</t>
  </si>
  <si>
    <t>4 ก.ย. 2569 09:11</t>
  </si>
  <si>
    <t>68219100004</t>
  </si>
  <si>
    <t>004นางสาวกัญญ์วรา อักษรสม</t>
  </si>
  <si>
    <t>68219100004@svc.ac.th</t>
  </si>
  <si>
    <t>9/20</t>
  </si>
  <si>
    <t>7/20</t>
  </si>
  <si>
    <t>8</t>
  </si>
  <si>
    <t>+7.0</t>
  </si>
  <si>
    <t>11 ก.ย. 2569 10:28</t>
  </si>
  <si>
    <t>4 ก.ย. 2569 09:21</t>
  </si>
  <si>
    <t>68219100005</t>
  </si>
  <si>
    <t>005นางสาวกัญญาวีร์ อินทกูล</t>
  </si>
  <si>
    <t>68219100005@svc.ac.th</t>
  </si>
  <si>
    <t>E2 รวม 2 บท (%)</t>
  </si>
  <si>
    <t>+9.0</t>
  </si>
  <si>
    <t>17/20</t>
  </si>
  <si>
    <t>4 ก.ย. 2569 10:56</t>
  </si>
  <si>
    <t>68219100006</t>
  </si>
  <si>
    <t>4 ก.ย. 2569 09:13</t>
  </si>
  <si>
    <t>006นางสาวกันยาวีร์ มีแสง</t>
  </si>
  <si>
    <t>68219100006@svc.ac.th</t>
  </si>
  <si>
    <t>+10.0</t>
  </si>
  <si>
    <t>20/20</t>
  </si>
  <si>
    <t>4 ก.ย. 2569 11:49</t>
  </si>
  <si>
    <t>เต็ม 40 คะแนน</t>
  </si>
  <si>
    <t>68219100007</t>
  </si>
  <si>
    <t>007นางสาวกุลนันท์ พานิชย์</t>
  </si>
  <si>
    <t>68219100007@svc.ac.th</t>
  </si>
  <si>
    <t>4 ก.ย. 2569 09:20</t>
  </si>
  <si>
    <t>11 ก.ย. 2569 09:16</t>
  </si>
  <si>
    <t>68219100008</t>
  </si>
  <si>
    <t>008นายไกรวุฒิ พรหมศิลป์</t>
  </si>
  <si>
    <t>+11.0</t>
  </si>
  <si>
    <t>68219100008@svc.ac.th</t>
  </si>
  <si>
    <t>6/20</t>
  </si>
  <si>
    <t>+5.0</t>
  </si>
  <si>
    <t>4 ก.ย. 2569 09:07</t>
  </si>
  <si>
    <t>4 ก.ย. 2569 10:25</t>
  </si>
  <si>
    <t>68219100009</t>
  </si>
  <si>
    <t>009นางสาวคิรภัสสร คงพูน</t>
  </si>
  <si>
    <t>68219100009@svc.ac.th</t>
  </si>
  <si>
    <t>E1/E2</t>
  </si>
  <si>
    <t>+6.0</t>
  </si>
  <si>
    <t>4 ก.ย. 2569 11:28</t>
  </si>
  <si>
    <t>4 ก.ย. 2569 11:52</t>
  </si>
  <si>
    <t>68219100010</t>
  </si>
  <si>
    <t>010นายเจตภานุ จงพัฒน์</t>
  </si>
  <si>
    <t>68219100010@svc.ac.th</t>
  </si>
  <si>
    <t>+3.0</t>
  </si>
  <si>
    <t>18/20</t>
  </si>
  <si>
    <t>+12.0</t>
  </si>
  <si>
    <t>4 ก.ย. 2569 09:15</t>
  </si>
  <si>
    <t>68219100011</t>
  </si>
  <si>
    <t>011นายณทชัย สอนศรีใหม่</t>
  </si>
  <si>
    <t>68219100011@svc.ac.th</t>
  </si>
  <si>
    <t>4 ก.ย. 2569 09:18</t>
  </si>
  <si>
    <t>11 ก.ย. 2569 10:38</t>
  </si>
  <si>
    <t>68219100012</t>
  </si>
  <si>
    <t>012นางสาวณัฏฐณิษา หทัยพันธน์</t>
  </si>
  <si>
    <t>68219100012@svc.ac.th</t>
  </si>
  <si>
    <t>16/20</t>
  </si>
  <si>
    <t>4 ก.ย. 2569 09:01</t>
  </si>
  <si>
    <t>68219100013</t>
  </si>
  <si>
    <t>013นายณัฐกร ศรีพิทักษ์</t>
  </si>
  <si>
    <t>68219100013@svc.ac.th</t>
  </si>
  <si>
    <t>11 ก.ย. 2569 09:12</t>
  </si>
  <si>
    <t>68219100014</t>
  </si>
  <si>
    <t>014นางสาวณัฐณิชา แสงมณี</t>
  </si>
  <si>
    <t>68219100014@svc.ac.th</t>
  </si>
  <si>
    <t>3/20</t>
  </si>
  <si>
    <t>19/20</t>
  </si>
  <si>
    <t>+14.0</t>
  </si>
  <si>
    <t>4 ก.ย. 2569 11:57</t>
  </si>
  <si>
    <t>68219100015</t>
  </si>
  <si>
    <t>11 ก.ย. 2569 08:47</t>
  </si>
  <si>
    <t>015นางสาวทิฐินันท์ ชูศรี</t>
  </si>
  <si>
    <t>68219100015@svc.ac.th</t>
  </si>
  <si>
    <t>68219100016</t>
  </si>
  <si>
    <t>016นางสาวธนภรณ์ เพชรแก้ว</t>
  </si>
  <si>
    <t>68219100016@svc.ac.th</t>
  </si>
  <si>
    <t>4 ก.ย. 2569 09:57</t>
  </si>
  <si>
    <t>68219100020</t>
  </si>
  <si>
    <t>020นางสาวเบ็ญจวัลย กุลคีรี</t>
  </si>
  <si>
    <t>68219100020@svc.ac.th</t>
  </si>
  <si>
    <t>4 ก.ย. 2569 09:05</t>
  </si>
  <si>
    <t>68219100021</t>
  </si>
  <si>
    <t>021นายปณิธาน บุญญานุพงศ์</t>
  </si>
  <si>
    <t>68219100021@svc.ac.th</t>
  </si>
  <si>
    <t>4/20</t>
  </si>
  <si>
    <t>4 ก.ย. 2569 11:36</t>
  </si>
  <si>
    <t>68219100022</t>
  </si>
  <si>
    <t>022นางสาวปนัดดา ฤทธิเวช</t>
  </si>
  <si>
    <t>4 ก.ย. 2569 09:06</t>
  </si>
  <si>
    <t>68219100022@svc.ac.th</t>
  </si>
  <si>
    <t>ขาดการติดต่อ</t>
  </si>
  <si>
    <t>4 ก.ย. 2569 11:42</t>
  </si>
  <si>
    <t>68219100024</t>
  </si>
  <si>
    <t>024นางสาวปวันรัตน์ ยงสุย</t>
  </si>
  <si>
    <t>68219100024@svc.ac.th</t>
  </si>
  <si>
    <t>4 ก.ย. 2569 11:25</t>
  </si>
  <si>
    <t>68219100025</t>
  </si>
  <si>
    <t>025นางสาวปุณยนุช รักบำรุง</t>
  </si>
  <si>
    <t>68219100025@svc.ac.th</t>
  </si>
  <si>
    <t>12/20</t>
  </si>
  <si>
    <t>4 ก.ย. 2569 11:39</t>
  </si>
  <si>
    <t>68219100028</t>
  </si>
  <si>
    <t>028นางสาวภรณี ขาวทอง</t>
  </si>
  <si>
    <t>68219100028@svc.ac.th</t>
  </si>
  <si>
    <t>4 ก.ย. 2569 11:41</t>
  </si>
  <si>
    <t>68219100029</t>
  </si>
  <si>
    <t>029นายภวิศร์พงษ์ เกิดพงษ์พันธ์</t>
  </si>
  <si>
    <t>68219100029@svc.ac.th</t>
  </si>
  <si>
    <t>4 ก.ย. 2569 11:33</t>
  </si>
  <si>
    <t>4 ก.ย. 2569 09:08</t>
  </si>
  <si>
    <t>68219100030</t>
  </si>
  <si>
    <t>030นายภาณุวัฒน์ บัวบุญ</t>
  </si>
  <si>
    <t>68219100030@svc.ac.th</t>
  </si>
  <si>
    <t>+15.0</t>
  </si>
  <si>
    <t>4 ก.ย. 2569 09:17</t>
  </si>
  <si>
    <t>68219100031</t>
  </si>
  <si>
    <t>031นายภูริพัฒน์ ช่วยรอด</t>
  </si>
  <si>
    <t>68219100031@svc.ac.th</t>
  </si>
  <si>
    <t>4 ก.ย. 2569 10:28</t>
  </si>
  <si>
    <t>68219100032</t>
  </si>
  <si>
    <t>032นายรัตนะฆเนตร ปิ่นสุวรรณ์</t>
  </si>
  <si>
    <t>68219100032@svc.ac.th</t>
  </si>
  <si>
    <t>15/20</t>
  </si>
  <si>
    <t>4 ก.ย. 2569 09:25</t>
  </si>
  <si>
    <t>11 ก.ย. 2569 08:42</t>
  </si>
  <si>
    <t>68219100033</t>
  </si>
  <si>
    <t>033นางสาววริศรา จันทร์สังสา</t>
  </si>
  <si>
    <t>68219100033@svc.ac.th</t>
  </si>
  <si>
    <t>4 ก.ย. 2569 09:00</t>
  </si>
  <si>
    <t>4 ก.ย. 2569 11:50</t>
  </si>
  <si>
    <t>68219100034</t>
  </si>
  <si>
    <t>034นางสาววัลนิดา ถนนแก้ว</t>
  </si>
  <si>
    <t>68219100034@svc.ac.th</t>
  </si>
  <si>
    <t>4 ก.ย. 2569 09:04</t>
  </si>
  <si>
    <t>68219100035</t>
  </si>
  <si>
    <t>035นางสาววารุณี นุ้ยมัย</t>
  </si>
  <si>
    <t>68219100035@svc.ac.th</t>
  </si>
  <si>
    <t>4 ก.ย. 2569 11:07</t>
  </si>
  <si>
    <t>4 ก.ย. 2569 09:09</t>
  </si>
  <si>
    <t>68219100036</t>
  </si>
  <si>
    <t>036นางสาววิมลศิริ คงกุล</t>
  </si>
  <si>
    <t>68219100036@svc.ac.th</t>
  </si>
  <si>
    <t>4 ก.ย. 2569 11:15</t>
  </si>
  <si>
    <t>68219100037</t>
  </si>
  <si>
    <t>037นายวีระภาพ สุขเจริญ</t>
  </si>
  <si>
    <t>68219100037@svc.ac.th</t>
  </si>
  <si>
    <t>11 ก.ย. 2569 09:15</t>
  </si>
  <si>
    <t>68219100038</t>
  </si>
  <si>
    <t>038นางสาววีริยา ทองคำแก้ว</t>
  </si>
  <si>
    <t>68219100038@svc.ac.th</t>
  </si>
  <si>
    <t>4 ก.ย. 2569 09:23</t>
  </si>
  <si>
    <t>4 ก.ย. 2569 11:01</t>
  </si>
  <si>
    <t>68219100039</t>
  </si>
  <si>
    <t>039นางสาวศุภรัสมิ์ พร้อมสุวรรณ</t>
  </si>
  <si>
    <t>68219100039@svc.ac.th</t>
  </si>
  <si>
    <t>4 ก.ย. 2569 09:19</t>
  </si>
  <si>
    <t>68219100040</t>
  </si>
  <si>
    <t>040นางสาวสรัลพร โรงวิชา</t>
  </si>
  <si>
    <t>68219100040@svc.ac.th</t>
  </si>
  <si>
    <t>11 ก.ย. 2569 09:37</t>
  </si>
  <si>
    <t>68219100041</t>
  </si>
  <si>
    <t>041นางสาวสโรชา พุ่มเชียงลำ</t>
  </si>
  <si>
    <t>68219100041@svc.ac.th</t>
  </si>
  <si>
    <t>4 ก.ย. 2569 09:33</t>
  </si>
  <si>
    <t>68219100042</t>
  </si>
  <si>
    <t>042นางสาวสุนิสา พวงพั่ว</t>
  </si>
  <si>
    <t>68219100042@svc.ac.th</t>
  </si>
  <si>
    <t>11 ก.ย. 2569 09:42</t>
  </si>
  <si>
    <t>68219100043</t>
  </si>
  <si>
    <t>043นางสาวเหมือนฝัน สุบรรณรัตน์</t>
  </si>
  <si>
    <t>68219100043@svc.ac.th</t>
  </si>
  <si>
    <t>4 ก.ย. 2569 11:26</t>
  </si>
  <si>
    <t>68219100045</t>
  </si>
  <si>
    <t>045นางสาวอัญลดา แสงทอง</t>
  </si>
  <si>
    <t>68219100045@svc.ac.th</t>
  </si>
  <si>
    <t>4 ก.ย. 2569 11:34</t>
  </si>
  <si>
    <t>4 ก.ย. 2569 09:10</t>
  </si>
  <si>
    <t>4 ก.ย. 2569 09:29</t>
  </si>
  <si>
    <t>A1: สรุปผลการเปรียบเทียบผลสัมฤทธิ์ทางการเรียนก่อนเรียนและหลังเรียน</t>
  </si>
  <si>
    <t>หน่วยการเรียนรู้</t>
  </si>
  <si>
    <t>n</t>
  </si>
  <si>
    <t>X̄ ก่อนเรียน</t>
  </si>
  <si>
    <t>SD ก่อนเรียน</t>
  </si>
  <si>
    <t>X̄ หลังเรียน</t>
  </si>
  <si>
    <t>SD หลังเรียน</t>
  </si>
  <si>
    <t>ผลต่างเฉลี่ย</t>
  </si>
  <si>
    <t>t</t>
  </si>
  <si>
    <t>df</t>
  </si>
  <si>
    <t>p (Sig.)</t>
  </si>
  <si>
    <t>บทที่ 6 (การสร้างฟอร์ม)</t>
  </si>
  <si>
    <t>บทที่ 7 (การสร้างรายงาน)</t>
  </si>
  <si>
    <t>รวมทั้ง 2 บทเรียน (เต็ม 40)</t>
  </si>
  <si>
    <t>Cohen's d (รวม 2 บทเรียน)</t>
  </si>
  <si>
    <t>สรุปผลการประเมินคุณภาพด้านเทคนิคและการออกแบบโดยผู้เชี่ยวชาญ</t>
  </si>
  <si>
    <t xml:space="preserve">สรุปผล </t>
  </si>
  <si>
    <t>ด้าน</t>
  </si>
  <si>
    <t>X̄</t>
  </si>
  <si>
    <t>SD</t>
  </si>
  <si>
    <t>ระดับคุณภาพ</t>
  </si>
  <si>
    <t>1. การทำงานและประสิทธิภาพของระบบ</t>
  </si>
  <si>
    <t>2. การออกแบบส่วนต่อประสานและการนำทาง</t>
  </si>
  <si>
    <t>3. การออกแบบและนำเสนอสื่อมัลติมีเดีย</t>
  </si>
  <si>
    <t>4. การใช้งานและประสบการณ์ของผู้เรียน</t>
  </si>
  <si>
    <t>สรุปผล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</si>
</sst>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, h:mm:ss"/>
    <numFmt numFmtId="165" formatCode="0.0000000000000000"/>
  </numFmts>
  <fonts count="17">
    <font>
      <sz val="11.0"/>
      <color theme="1"/>
      <name val="Arial"/>
      <scheme val="minor"/>
    </font>
    <font>
      <color theme="1"/>
      <name val="Arial"/>
      <scheme val="minor"/>
    </font>
    <font>
      <b/>
      <sz val="15.0"/>
      <color rgb="FFFFFFFF"/>
      <name val="Arial"/>
    </font>
    <font/>
    <font>
      <b/>
      <sz val="16.0"/>
      <color theme="1"/>
      <name val="Sarabun"/>
    </font>
    <font>
      <sz val="16.0"/>
      <color theme="1"/>
      <name val="Sarabun"/>
    </font>
    <font>
      <i/>
      <sz val="10.0"/>
      <color rgb="FFFFFFFF"/>
      <name val="Arial"/>
    </font>
    <font>
      <b/>
      <sz val="9.0"/>
      <color rgb="FF64748B"/>
      <name val="Arial"/>
    </font>
    <font>
      <b/>
      <sz val="15.0"/>
      <color rgb="FF1E40AF"/>
      <name val="Arial"/>
    </font>
    <font>
      <b/>
      <sz val="15.0"/>
      <color rgb="FF065F46"/>
      <name val="Arial"/>
    </font>
    <font>
      <b/>
      <sz val="15.0"/>
      <color rgb="FF6B21A8"/>
      <name val="Arial"/>
    </font>
    <font>
      <sz val="8.0"/>
      <color rgb="FF94A3B8"/>
      <name val="Arial"/>
    </font>
    <font>
      <b/>
      <sz val="10.0"/>
      <color rgb="FFFFFFFF"/>
      <name val="Arial"/>
    </font>
    <font>
      <sz val="10.0"/>
      <color rgb="FF0F172A"/>
      <name val="Arial"/>
    </font>
    <font>
      <b/>
      <sz val="10.0"/>
      <color rgb="FF166534"/>
      <name val="Arial"/>
    </font>
    <font>
      <b/>
      <sz val="10.0"/>
      <color rgb="FF92400E"/>
      <name val="Arial"/>
    </font>
    <font>
      <sz val="16.0"/>
      <color rgb="FF000000"/>
      <name val="Sarabun"/>
    </font>
  </fonts>
  <fills count="17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B6D7A8"/>
        <bgColor rgb="FFB6D7A8"/>
      </patternFill>
    </fill>
    <fill>
      <patternFill patternType="solid">
        <fgColor rgb="FF1E40AF"/>
        <bgColor rgb="FF1E40AF"/>
      </patternFill>
    </fill>
    <fill>
      <patternFill patternType="solid">
        <fgColor rgb="FFA4C2F4"/>
        <bgColor rgb="FFA4C2F4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3E8FF"/>
        <bgColor rgb="FFF3E8FF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25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BFDBFE"/>
      </top>
      <bottom/>
    </border>
    <border>
      <right style="thin">
        <color rgb="FFBFDBFE"/>
      </right>
      <top style="thin">
        <color rgb="FFBFDBFE"/>
      </top>
      <bottom/>
    </border>
    <border>
      <left/>
      <top style="thin">
        <color rgb="FFA7F3D0"/>
      </top>
      <bottom/>
    </border>
    <border>
      <right style="thin">
        <color rgb="FFA7F3D0"/>
      </right>
      <top style="thin">
        <color rgb="FFA7F3D0"/>
      </top>
      <bottom/>
    </border>
    <border>
      <left/>
      <top style="thin">
        <color rgb="FFE9D5FF"/>
      </top>
      <bottom/>
    </border>
    <border>
      <right style="thin">
        <color rgb="FFE9D5FF"/>
      </right>
      <top style="thin">
        <color rgb="FFE9D5FF"/>
      </top>
      <bottom/>
    </border>
    <border>
      <right style="thin">
        <color rgb="FFBFDBFE"/>
      </right>
      <top/>
      <bottom/>
    </border>
    <border>
      <right style="thin">
        <color rgb="FFA7F3D0"/>
      </right>
      <top/>
      <bottom/>
    </border>
    <border>
      <right style="thin">
        <color rgb="FFE9D5FF"/>
      </right>
      <top/>
      <bottom/>
    </border>
    <border>
      <left/>
      <top/>
      <bottom style="medium">
        <color rgb="FFBFDBFE"/>
      </bottom>
    </border>
    <border>
      <right style="thin">
        <color rgb="FFBFDBFE"/>
      </right>
      <top/>
      <bottom style="medium">
        <color rgb="FFBFDBFE"/>
      </bottom>
    </border>
    <border>
      <left/>
      <top/>
      <bottom style="medium">
        <color rgb="FFA7F3D0"/>
      </bottom>
    </border>
    <border>
      <right style="thin">
        <color rgb="FFA7F3D0"/>
      </right>
      <top/>
      <bottom style="medium">
        <color rgb="FFA7F3D0"/>
      </bottom>
    </border>
    <border>
      <left/>
      <top/>
      <bottom style="medium">
        <color rgb="FFE9D5FF"/>
      </bottom>
    </border>
    <border>
      <right style="thin">
        <color rgb="FFE9D5FF"/>
      </right>
      <top/>
      <bottom style="medium">
        <color rgb="FFE9D5FF"/>
      </bottom>
    </border>
    <border>
      <left style="thin">
        <color rgb="FF475569"/>
      </left>
      <right style="thin">
        <color rgb="FF475569"/>
      </right>
      <top style="medium">
        <color rgb="FF1E3A8A"/>
      </top>
      <bottom style="medium">
        <color rgb="FF1E3A8A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3" fontId="4" numFmtId="0" xfId="0" applyAlignment="1" applyBorder="1" applyFill="1" applyFont="1">
      <alignment readingOrder="0"/>
    </xf>
    <xf borderId="0" fillId="0" fontId="1" numFmtId="164" xfId="0" applyAlignment="1" applyFont="1" applyNumberFormat="1">
      <alignment readingOrder="0"/>
    </xf>
    <xf borderId="4" fillId="0" fontId="3" numFmtId="0" xfId="0" applyBorder="1" applyFont="1"/>
    <xf borderId="5" fillId="0" fontId="3" numFmtId="0" xfId="0" applyBorder="1" applyFont="1"/>
    <xf borderId="0" fillId="0" fontId="5" numFmtId="0" xfId="0" applyFont="1"/>
    <xf borderId="6" fillId="0" fontId="3" numFmtId="0" xfId="0" applyBorder="1" applyFont="1"/>
    <xf borderId="3" fillId="0" fontId="5" numFmtId="0" xfId="0" applyBorder="1" applyFont="1"/>
    <xf borderId="1" fillId="4" fontId="6" numFmtId="0" xfId="0" applyAlignment="1" applyBorder="1" applyFill="1" applyFont="1">
      <alignment horizontal="left" vertical="center"/>
    </xf>
    <xf borderId="7" fillId="5" fontId="4" numFmtId="0" xfId="0" applyAlignment="1" applyBorder="1" applyFill="1" applyFont="1">
      <alignment horizontal="center" readingOrder="0"/>
    </xf>
    <xf borderId="8" fillId="6" fontId="7" numFmtId="0" xfId="0" applyAlignment="1" applyBorder="1" applyFill="1" applyFont="1">
      <alignment horizontal="center" vertical="center"/>
    </xf>
    <xf borderId="0" fillId="0" fontId="4" numFmtId="0" xfId="0" applyFont="1"/>
    <xf borderId="9" fillId="0" fontId="3" numFmtId="0" xfId="0" applyBorder="1" applyFont="1"/>
    <xf borderId="7" fillId="0" fontId="5" numFmtId="0" xfId="0" applyAlignment="1" applyBorder="1" applyFont="1">
      <alignment horizontal="center" readingOrder="0"/>
    </xf>
    <xf borderId="10" fillId="7" fontId="7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8" fontId="7" numFmtId="0" xfId="0" applyAlignment="1" applyBorder="1" applyFill="1" applyFont="1">
      <alignment horizontal="center" vertical="center"/>
    </xf>
    <xf borderId="13" fillId="0" fontId="3" numFmtId="0" xfId="0" applyBorder="1" applyFont="1"/>
    <xf borderId="1" fillId="6" fontId="8" numFmtId="0" xfId="0" applyAlignment="1" applyBorder="1" applyFill="1" applyFont="1">
      <alignment horizontal="center" vertical="center"/>
    </xf>
    <xf borderId="14" fillId="0" fontId="3" numFmtId="0" xfId="0" applyBorder="1" applyFont="1"/>
    <xf borderId="1" fillId="7" fontId="9" numFmtId="0" xfId="0" applyAlignment="1" applyBorder="1" applyFill="1" applyFont="1">
      <alignment horizontal="center" vertical="center"/>
    </xf>
    <xf borderId="15" fillId="0" fontId="3" numFmtId="0" xfId="0" applyBorder="1" applyFont="1"/>
    <xf borderId="1" fillId="8" fontId="10" numFmtId="0" xfId="0" applyAlignment="1" applyBorder="1" applyFill="1" applyFont="1">
      <alignment horizontal="center" vertical="center"/>
    </xf>
    <xf borderId="16" fillId="0" fontId="3" numFmtId="0" xfId="0" applyBorder="1" applyFont="1"/>
    <xf borderId="7" fillId="0" fontId="5" numFmtId="2" xfId="0" applyAlignment="1" applyBorder="1" applyFont="1" applyNumberFormat="1">
      <alignment horizontal="center"/>
    </xf>
    <xf borderId="17" fillId="6" fontId="11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/>
    </xf>
    <xf borderId="18" fillId="0" fontId="3" numFmtId="0" xfId="0" applyBorder="1" applyFont="1"/>
    <xf borderId="19" fillId="7" fontId="11" numFmtId="0" xfId="0" applyAlignment="1" applyBorder="1" applyFill="1" applyFont="1">
      <alignment horizontal="center" vertical="center"/>
    </xf>
    <xf borderId="20" fillId="0" fontId="3" numFmtId="0" xfId="0" applyBorder="1" applyFont="1"/>
    <xf borderId="21" fillId="8" fontId="11" numFmtId="0" xfId="0" applyAlignment="1" applyBorder="1" applyFill="1" applyFont="1">
      <alignment horizontal="center" vertical="center"/>
    </xf>
    <xf borderId="22" fillId="0" fontId="3" numFmtId="0" xfId="0" applyBorder="1" applyFont="1"/>
    <xf borderId="23" fillId="9" fontId="12" numFmtId="0" xfId="0" applyAlignment="1" applyBorder="1" applyFill="1" applyFont="1">
      <alignment horizontal="center" shrinkToFit="0" vertical="center" wrapText="1"/>
    </xf>
    <xf borderId="23" fillId="9" fontId="12" numFmtId="0" xfId="0" applyAlignment="1" applyBorder="1" applyFill="1" applyFont="1">
      <alignment horizontal="left" shrinkToFit="0" vertical="center" wrapText="1"/>
    </xf>
    <xf borderId="24" fillId="10" fontId="13" numFmtId="0" xfId="0" applyAlignment="1" applyBorder="1" applyFill="1" applyFont="1">
      <alignment horizontal="center" vertical="center"/>
    </xf>
    <xf borderId="24" fillId="10" fontId="13" numFmtId="0" xfId="0" applyAlignment="1" applyBorder="1" applyFill="1" applyFont="1">
      <alignment horizontal="left" vertical="center"/>
    </xf>
    <xf borderId="3" fillId="0" fontId="5" numFmtId="0" xfId="0" applyAlignment="1" applyBorder="1" applyFont="1">
      <alignment horizontal="center"/>
    </xf>
    <xf borderId="24" fillId="10" fontId="13" numFmtId="0" xfId="0" applyAlignment="1" applyBorder="1" applyFill="1" applyFont="1">
      <alignment horizontal="center" shrinkToFit="0" vertical="center" wrapText="1"/>
    </xf>
    <xf borderId="24" fillId="11" fontId="14" numFmtId="0" xfId="0" applyAlignment="1" applyBorder="1" applyFill="1" applyFont="1">
      <alignment horizontal="center" vertical="center"/>
    </xf>
    <xf borderId="24" fillId="12" fontId="13" numFmtId="0" xfId="0" applyAlignment="1" applyBorder="1" applyFill="1" applyFont="1">
      <alignment horizontal="center" vertical="center"/>
    </xf>
    <xf borderId="24" fillId="12" fontId="13" numFmtId="0" xfId="0" applyAlignment="1" applyBorder="1" applyFill="1" applyFont="1">
      <alignment horizontal="left" vertical="center"/>
    </xf>
    <xf borderId="24" fillId="12" fontId="13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24" fillId="13" fontId="15" numFmtId="0" xfId="0" applyAlignment="1" applyBorder="1" applyFill="1" applyFont="1">
      <alignment horizontal="center" vertical="center"/>
    </xf>
    <xf borderId="24" fillId="12" fontId="13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/>
    </xf>
    <xf borderId="7" fillId="0" fontId="4" numFmtId="2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7" fillId="0" fontId="5" numFmtId="2" xfId="0" applyAlignment="1" applyBorder="1" applyFont="1" applyNumberFormat="1">
      <alignment horizontal="left" readingOrder="0"/>
    </xf>
    <xf borderId="7" fillId="0" fontId="5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7" fillId="0" fontId="5" numFmtId="0" xfId="0" applyAlignment="1" applyBorder="1" applyFont="1">
      <alignment readingOrder="0"/>
    </xf>
    <xf borderId="3" fillId="0" fontId="5" numFmtId="2" xfId="0" applyAlignment="1" applyBorder="1" applyFont="1" applyNumberFormat="1">
      <alignment horizontal="center"/>
    </xf>
    <xf borderId="3" fillId="14" fontId="4" numFmtId="0" xfId="0" applyAlignment="1" applyBorder="1" applyFill="1" applyFont="1">
      <alignment horizontal="center" readingOrder="0"/>
    </xf>
    <xf borderId="3" fillId="14" fontId="5" numFmtId="0" xfId="0" applyAlignment="1" applyBorder="1" applyFill="1" applyFont="1">
      <alignment horizontal="center" readingOrder="0"/>
    </xf>
    <xf borderId="7" fillId="3" fontId="5" numFmtId="2" xfId="0" applyAlignment="1" applyBorder="1" applyFill="1" applyFont="1" applyNumberFormat="1">
      <alignment horizontal="center" readingOrder="0"/>
    </xf>
    <xf borderId="7" fillId="0" fontId="16" numFmtId="1" xfId="0" applyAlignment="1" applyBorder="1" applyFont="1" applyNumberFormat="1">
      <alignment horizontal="center"/>
    </xf>
    <xf borderId="7" fillId="15" fontId="5" numFmtId="2" xfId="0" applyAlignment="1" applyBorder="1" applyFill="1" applyFont="1" applyNumberFormat="1">
      <alignment horizontal="center" readingOrder="0"/>
    </xf>
    <xf borderId="7" fillId="16" fontId="16" numFmtId="1" xfId="0" applyAlignment="1" applyBorder="1" applyFill="1" applyFont="1" applyNumberFormat="1">
      <alignment horizontal="center"/>
    </xf>
    <xf borderId="7" fillId="16" fontId="5" numFmtId="2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0"/>
    <col customWidth="1" min="2" max="2" width="14.0"/>
    <col customWidth="1" min="3" max="4" width="24.5"/>
    <col customWidth="1" min="5" max="5" width="13.13"/>
    <col customWidth="1" min="6" max="7" width="14.0"/>
    <col customWidth="1" min="8" max="10" width="13.13"/>
    <col customWidth="1" min="11" max="12" width="14.0"/>
    <col customWidth="1" min="13" max="13" width="19.25"/>
    <col customWidth="1" min="14" max="26" width="7.63"/>
  </cols>
  <sheetData>
    <row r="1" ht="9.75" customHeight="1"/>
    <row r="2" ht="33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9"/>
    </row>
    <row r="3" ht="24.0" customHeight="1">
      <c r="A3" s="11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9"/>
    </row>
    <row r="4" ht="12.0" customHeight="1"/>
    <row r="5" ht="18.0" customHeight="1">
      <c r="A5" s="13" t="s">
        <v>26</v>
      </c>
      <c r="B5" s="15"/>
      <c r="C5" s="17" t="s">
        <v>30</v>
      </c>
      <c r="D5" s="18"/>
      <c r="E5" s="19" t="s">
        <v>31</v>
      </c>
      <c r="F5" s="20"/>
      <c r="G5" s="13" t="s">
        <v>32</v>
      </c>
      <c r="H5" s="15"/>
      <c r="I5" s="17" t="s">
        <v>33</v>
      </c>
      <c r="J5" s="18"/>
    </row>
    <row r="6" ht="25.5" customHeight="1">
      <c r="A6" s="21" t="s">
        <v>34</v>
      </c>
      <c r="B6" s="22"/>
      <c r="C6" s="23" t="s">
        <v>35</v>
      </c>
      <c r="D6" s="24"/>
      <c r="E6" s="25" t="s">
        <v>34</v>
      </c>
      <c r="F6" s="26"/>
      <c r="G6" s="21" t="s">
        <v>36</v>
      </c>
      <c r="H6" s="22"/>
      <c r="I6" s="23" t="s">
        <v>34</v>
      </c>
      <c r="J6" s="24"/>
    </row>
    <row r="7" ht="15.75" customHeight="1">
      <c r="A7" s="28" t="s">
        <v>37</v>
      </c>
      <c r="B7" s="30"/>
      <c r="C7" s="31" t="s">
        <v>38</v>
      </c>
      <c r="D7" s="32"/>
      <c r="E7" s="33" t="s">
        <v>40</v>
      </c>
      <c r="F7" s="34"/>
      <c r="G7" s="28" t="s">
        <v>41</v>
      </c>
      <c r="H7" s="30"/>
      <c r="I7" s="31" t="s">
        <v>43</v>
      </c>
      <c r="J7" s="32"/>
    </row>
    <row r="8" ht="13.5" customHeight="1"/>
    <row r="9" ht="27.75" customHeight="1">
      <c r="A9" s="35" t="s">
        <v>44</v>
      </c>
      <c r="B9" s="35" t="s">
        <v>45</v>
      </c>
      <c r="C9" s="36" t="s">
        <v>46</v>
      </c>
      <c r="D9" s="36" t="s">
        <v>47</v>
      </c>
      <c r="E9" s="35" t="s">
        <v>48</v>
      </c>
      <c r="F9" s="35" t="s">
        <v>49</v>
      </c>
      <c r="G9" s="35" t="s">
        <v>50</v>
      </c>
      <c r="H9" s="35" t="s">
        <v>51</v>
      </c>
      <c r="I9" s="35" t="s">
        <v>52</v>
      </c>
      <c r="J9" s="35" t="s">
        <v>53</v>
      </c>
      <c r="K9" s="35" t="s">
        <v>54</v>
      </c>
      <c r="L9" s="35" t="s">
        <v>55</v>
      </c>
      <c r="M9" s="35" t="s">
        <v>57</v>
      </c>
    </row>
    <row r="10" ht="21.75" customHeight="1">
      <c r="A10" s="37">
        <v>1.0</v>
      </c>
      <c r="B10" s="37" t="s">
        <v>58</v>
      </c>
      <c r="C10" s="38" t="s">
        <v>59</v>
      </c>
      <c r="D10" s="38" t="s">
        <v>60</v>
      </c>
      <c r="E10" s="37" t="s">
        <v>61</v>
      </c>
      <c r="F10" s="40" t="s">
        <v>62</v>
      </c>
      <c r="G10" s="40" t="s">
        <v>63</v>
      </c>
      <c r="H10" s="40" t="s">
        <v>64</v>
      </c>
      <c r="I10" s="40" t="s">
        <v>20</v>
      </c>
      <c r="J10" s="40" t="s">
        <v>65</v>
      </c>
      <c r="K10" s="41" t="s">
        <v>68</v>
      </c>
      <c r="L10" s="37" t="s">
        <v>71</v>
      </c>
      <c r="M10" s="37" t="s">
        <v>72</v>
      </c>
    </row>
    <row r="11" ht="21.75" customHeight="1">
      <c r="A11" s="42">
        <v>2.0</v>
      </c>
      <c r="B11" s="42" t="s">
        <v>74</v>
      </c>
      <c r="C11" s="43" t="s">
        <v>75</v>
      </c>
      <c r="D11" s="43" t="s">
        <v>76</v>
      </c>
      <c r="E11" s="42" t="s">
        <v>61</v>
      </c>
      <c r="F11" s="44" t="s">
        <v>77</v>
      </c>
      <c r="G11" s="44" t="s">
        <v>66</v>
      </c>
      <c r="H11" s="44" t="s">
        <v>79</v>
      </c>
      <c r="I11" s="44" t="s">
        <v>20</v>
      </c>
      <c r="J11" s="44" t="s">
        <v>65</v>
      </c>
      <c r="K11" s="41" t="s">
        <v>68</v>
      </c>
      <c r="L11" s="42" t="s">
        <v>71</v>
      </c>
      <c r="M11" s="42" t="s">
        <v>82</v>
      </c>
    </row>
    <row r="12" ht="21.75" customHeight="1">
      <c r="A12" s="37">
        <v>3.0</v>
      </c>
      <c r="B12" s="37" t="s">
        <v>84</v>
      </c>
      <c r="C12" s="38" t="s">
        <v>85</v>
      </c>
      <c r="D12" s="38" t="s">
        <v>86</v>
      </c>
      <c r="E12" s="37" t="s">
        <v>61</v>
      </c>
      <c r="F12" s="40" t="s">
        <v>87</v>
      </c>
      <c r="G12" s="40" t="s">
        <v>80</v>
      </c>
      <c r="H12" s="40" t="s">
        <v>79</v>
      </c>
      <c r="I12" s="40" t="s">
        <v>20</v>
      </c>
      <c r="J12" s="40" t="s">
        <v>89</v>
      </c>
      <c r="K12" s="41" t="s">
        <v>68</v>
      </c>
      <c r="L12" s="37" t="s">
        <v>71</v>
      </c>
      <c r="M12" s="37" t="s">
        <v>91</v>
      </c>
    </row>
    <row r="13" ht="21.75" customHeight="1">
      <c r="A13" s="42">
        <v>4.0</v>
      </c>
      <c r="B13" s="42" t="s">
        <v>93</v>
      </c>
      <c r="C13" s="43" t="s">
        <v>94</v>
      </c>
      <c r="D13" s="43" t="s">
        <v>95</v>
      </c>
      <c r="E13" s="42" t="s">
        <v>61</v>
      </c>
      <c r="F13" s="44" t="s">
        <v>62</v>
      </c>
      <c r="G13" s="44" t="s">
        <v>67</v>
      </c>
      <c r="H13" s="44" t="s">
        <v>97</v>
      </c>
      <c r="I13" s="44" t="s">
        <v>20</v>
      </c>
      <c r="J13" s="44" t="s">
        <v>65</v>
      </c>
      <c r="K13" s="41" t="s">
        <v>68</v>
      </c>
      <c r="L13" s="42" t="s">
        <v>71</v>
      </c>
      <c r="M13" s="42" t="s">
        <v>99</v>
      </c>
    </row>
    <row r="14" ht="21.75" customHeight="1">
      <c r="A14" s="37">
        <v>5.0</v>
      </c>
      <c r="B14" s="37" t="s">
        <v>100</v>
      </c>
      <c r="C14" s="38" t="s">
        <v>102</v>
      </c>
      <c r="D14" s="38" t="s">
        <v>103</v>
      </c>
      <c r="E14" s="37" t="s">
        <v>61</v>
      </c>
      <c r="F14" s="40" t="s">
        <v>88</v>
      </c>
      <c r="G14" s="40" t="s">
        <v>98</v>
      </c>
      <c r="H14" s="40" t="s">
        <v>104</v>
      </c>
      <c r="I14" s="40" t="s">
        <v>20</v>
      </c>
      <c r="J14" s="40" t="s">
        <v>65</v>
      </c>
      <c r="K14" s="41" t="s">
        <v>68</v>
      </c>
      <c r="L14" s="37" t="s">
        <v>71</v>
      </c>
      <c r="M14" s="37" t="s">
        <v>106</v>
      </c>
    </row>
    <row r="15" ht="21.75" customHeight="1">
      <c r="A15" s="42">
        <v>6.0</v>
      </c>
      <c r="B15" s="42" t="s">
        <v>108</v>
      </c>
      <c r="C15" s="43" t="s">
        <v>109</v>
      </c>
      <c r="D15" s="43" t="s">
        <v>110</v>
      </c>
      <c r="E15" s="42" t="s">
        <v>61</v>
      </c>
      <c r="F15" s="44" t="s">
        <v>77</v>
      </c>
      <c r="G15" s="44" t="s">
        <v>66</v>
      </c>
      <c r="H15" s="44" t="s">
        <v>79</v>
      </c>
      <c r="I15" s="44" t="s">
        <v>20</v>
      </c>
      <c r="J15" s="44" t="s">
        <v>65</v>
      </c>
      <c r="K15" s="41" t="s">
        <v>68</v>
      </c>
      <c r="L15" s="42" t="s">
        <v>71</v>
      </c>
      <c r="M15" s="42" t="s">
        <v>112</v>
      </c>
    </row>
    <row r="16" ht="21.75" customHeight="1">
      <c r="A16" s="37">
        <v>7.0</v>
      </c>
      <c r="B16" s="37" t="s">
        <v>113</v>
      </c>
      <c r="C16" s="38" t="s">
        <v>114</v>
      </c>
      <c r="D16" s="38" t="s">
        <v>116</v>
      </c>
      <c r="E16" s="37" t="s">
        <v>61</v>
      </c>
      <c r="F16" s="40" t="s">
        <v>117</v>
      </c>
      <c r="G16" s="40" t="s">
        <v>80</v>
      </c>
      <c r="H16" s="40" t="s">
        <v>118</v>
      </c>
      <c r="I16" s="40" t="s">
        <v>20</v>
      </c>
      <c r="J16" s="40" t="s">
        <v>65</v>
      </c>
      <c r="K16" s="41" t="s">
        <v>68</v>
      </c>
      <c r="L16" s="37" t="s">
        <v>71</v>
      </c>
      <c r="M16" s="37" t="s">
        <v>120</v>
      </c>
    </row>
    <row r="17" ht="21.75" customHeight="1">
      <c r="A17" s="42">
        <v>8.0</v>
      </c>
      <c r="B17" s="42" t="s">
        <v>121</v>
      </c>
      <c r="C17" s="43" t="s">
        <v>122</v>
      </c>
      <c r="D17" s="43" t="s">
        <v>123</v>
      </c>
      <c r="E17" s="42" t="s">
        <v>61</v>
      </c>
      <c r="F17" s="44" t="s">
        <v>77</v>
      </c>
      <c r="G17" s="44" t="s">
        <v>63</v>
      </c>
      <c r="H17" s="44" t="s">
        <v>118</v>
      </c>
      <c r="I17" s="44" t="s">
        <v>20</v>
      </c>
      <c r="J17" s="44" t="s">
        <v>65</v>
      </c>
      <c r="K17" s="41" t="s">
        <v>68</v>
      </c>
      <c r="L17" s="42" t="s">
        <v>71</v>
      </c>
      <c r="M17" s="42" t="s">
        <v>126</v>
      </c>
    </row>
    <row r="18" ht="21.75" customHeight="1">
      <c r="A18" s="37">
        <v>9.0</v>
      </c>
      <c r="B18" s="37" t="s">
        <v>128</v>
      </c>
      <c r="C18" s="38" t="s">
        <v>129</v>
      </c>
      <c r="D18" s="38" t="s">
        <v>130</v>
      </c>
      <c r="E18" s="37" t="s">
        <v>61</v>
      </c>
      <c r="F18" s="40" t="s">
        <v>66</v>
      </c>
      <c r="G18" s="40" t="s">
        <v>63</v>
      </c>
      <c r="H18" s="40" t="s">
        <v>131</v>
      </c>
      <c r="I18" s="40" t="s">
        <v>20</v>
      </c>
      <c r="J18" s="40" t="s">
        <v>65</v>
      </c>
      <c r="K18" s="41" t="s">
        <v>68</v>
      </c>
      <c r="L18" s="37" t="s">
        <v>71</v>
      </c>
      <c r="M18" s="37" t="s">
        <v>134</v>
      </c>
    </row>
    <row r="19" ht="21.75" customHeight="1">
      <c r="A19" s="42">
        <v>10.0</v>
      </c>
      <c r="B19" s="42" t="s">
        <v>135</v>
      </c>
      <c r="C19" s="43" t="s">
        <v>136</v>
      </c>
      <c r="D19" s="43" t="s">
        <v>137</v>
      </c>
      <c r="E19" s="42" t="s">
        <v>61</v>
      </c>
      <c r="F19" s="44" t="s">
        <v>77</v>
      </c>
      <c r="G19" s="44" t="s">
        <v>66</v>
      </c>
      <c r="H19" s="44" t="s">
        <v>79</v>
      </c>
      <c r="I19" s="44" t="s">
        <v>20</v>
      </c>
      <c r="J19" s="44" t="s">
        <v>65</v>
      </c>
      <c r="K19" s="41" t="s">
        <v>68</v>
      </c>
      <c r="L19" s="42" t="s">
        <v>71</v>
      </c>
      <c r="M19" s="42" t="s">
        <v>139</v>
      </c>
    </row>
    <row r="20" ht="21.75" customHeight="1">
      <c r="A20" s="37">
        <v>11.0</v>
      </c>
      <c r="B20" s="37" t="s">
        <v>140</v>
      </c>
      <c r="C20" s="38" t="s">
        <v>141</v>
      </c>
      <c r="D20" s="38" t="s">
        <v>142</v>
      </c>
      <c r="E20" s="37" t="s">
        <v>61</v>
      </c>
      <c r="F20" s="40" t="s">
        <v>117</v>
      </c>
      <c r="G20" s="40" t="s">
        <v>143</v>
      </c>
      <c r="H20" s="40" t="s">
        <v>104</v>
      </c>
      <c r="I20" s="40" t="s">
        <v>20</v>
      </c>
      <c r="J20" s="40" t="s">
        <v>65</v>
      </c>
      <c r="K20" s="41" t="s">
        <v>68</v>
      </c>
      <c r="L20" s="37" t="s">
        <v>71</v>
      </c>
      <c r="M20" s="37" t="s">
        <v>139</v>
      </c>
    </row>
    <row r="21" ht="21.75" customHeight="1">
      <c r="A21" s="42">
        <v>12.0</v>
      </c>
      <c r="B21" s="42" t="s">
        <v>145</v>
      </c>
      <c r="C21" s="43" t="s">
        <v>146</v>
      </c>
      <c r="D21" s="43" t="s">
        <v>147</v>
      </c>
      <c r="E21" s="42" t="s">
        <v>61</v>
      </c>
      <c r="F21" s="44" t="s">
        <v>88</v>
      </c>
      <c r="G21" s="44" t="s">
        <v>63</v>
      </c>
      <c r="H21" s="44" t="s">
        <v>125</v>
      </c>
      <c r="I21" s="44" t="s">
        <v>20</v>
      </c>
      <c r="J21" s="44" t="s">
        <v>65</v>
      </c>
      <c r="K21" s="41" t="s">
        <v>68</v>
      </c>
      <c r="L21" s="42" t="s">
        <v>71</v>
      </c>
      <c r="M21" s="42" t="s">
        <v>148</v>
      </c>
    </row>
    <row r="22" ht="21.75" customHeight="1">
      <c r="A22" s="37">
        <v>13.0</v>
      </c>
      <c r="B22" s="37" t="s">
        <v>149</v>
      </c>
      <c r="C22" s="38" t="s">
        <v>150</v>
      </c>
      <c r="D22" s="38" t="s">
        <v>151</v>
      </c>
      <c r="E22" s="37" t="s">
        <v>61</v>
      </c>
      <c r="F22" s="40" t="s">
        <v>152</v>
      </c>
      <c r="G22" s="40" t="s">
        <v>80</v>
      </c>
      <c r="H22" s="40" t="s">
        <v>64</v>
      </c>
      <c r="I22" s="40" t="s">
        <v>20</v>
      </c>
      <c r="J22" s="40" t="s">
        <v>65</v>
      </c>
      <c r="K22" s="41" t="s">
        <v>68</v>
      </c>
      <c r="L22" s="37" t="s">
        <v>71</v>
      </c>
      <c r="M22" s="37" t="s">
        <v>155</v>
      </c>
    </row>
    <row r="23" ht="21.75" customHeight="1">
      <c r="A23" s="42">
        <v>14.0</v>
      </c>
      <c r="B23" s="42" t="s">
        <v>156</v>
      </c>
      <c r="C23" s="43" t="s">
        <v>158</v>
      </c>
      <c r="D23" s="43" t="s">
        <v>159</v>
      </c>
      <c r="E23" s="42" t="s">
        <v>61</v>
      </c>
      <c r="F23" s="44" t="s">
        <v>62</v>
      </c>
      <c r="G23" s="44" t="s">
        <v>67</v>
      </c>
      <c r="H23" s="44" t="s">
        <v>97</v>
      </c>
      <c r="I23" s="44" t="s">
        <v>20</v>
      </c>
      <c r="J23" s="44" t="s">
        <v>65</v>
      </c>
      <c r="K23" s="41" t="s">
        <v>68</v>
      </c>
      <c r="L23" s="42" t="s">
        <v>71</v>
      </c>
      <c r="M23" s="42" t="s">
        <v>120</v>
      </c>
    </row>
    <row r="24" ht="21.75" customHeight="1">
      <c r="A24" s="37">
        <v>15.0</v>
      </c>
      <c r="B24" s="37" t="s">
        <v>160</v>
      </c>
      <c r="C24" s="38" t="s">
        <v>161</v>
      </c>
      <c r="D24" s="38" t="s">
        <v>162</v>
      </c>
      <c r="E24" s="37" t="s">
        <v>61</v>
      </c>
      <c r="F24" s="40" t="s">
        <v>88</v>
      </c>
      <c r="G24" s="40" t="s">
        <v>67</v>
      </c>
      <c r="H24" s="40" t="s">
        <v>90</v>
      </c>
      <c r="I24" s="40" t="s">
        <v>20</v>
      </c>
      <c r="J24" s="40" t="s">
        <v>65</v>
      </c>
      <c r="K24" s="41" t="s">
        <v>68</v>
      </c>
      <c r="L24" s="37" t="s">
        <v>71</v>
      </c>
      <c r="M24" s="37" t="s">
        <v>163</v>
      </c>
    </row>
    <row r="25" ht="21.75" customHeight="1">
      <c r="A25" s="42">
        <v>16.0</v>
      </c>
      <c r="B25" s="42" t="s">
        <v>164</v>
      </c>
      <c r="C25" s="43" t="s">
        <v>165</v>
      </c>
      <c r="D25" s="43" t="s">
        <v>166</v>
      </c>
      <c r="E25" s="42" t="s">
        <v>61</v>
      </c>
      <c r="F25" s="44" t="s">
        <v>77</v>
      </c>
      <c r="G25" s="44" t="s">
        <v>80</v>
      </c>
      <c r="H25" s="44" t="s">
        <v>131</v>
      </c>
      <c r="I25" s="44" t="s">
        <v>20</v>
      </c>
      <c r="J25" s="44" t="s">
        <v>65</v>
      </c>
      <c r="K25" s="41" t="s">
        <v>68</v>
      </c>
      <c r="L25" s="42" t="s">
        <v>71</v>
      </c>
      <c r="M25" s="42" t="s">
        <v>155</v>
      </c>
    </row>
    <row r="26" ht="21.75" customHeight="1">
      <c r="A26" s="37">
        <v>17.0</v>
      </c>
      <c r="B26" s="37" t="s">
        <v>168</v>
      </c>
      <c r="C26" s="38" t="s">
        <v>169</v>
      </c>
      <c r="D26" s="38" t="s">
        <v>170</v>
      </c>
      <c r="E26" s="37" t="s">
        <v>61</v>
      </c>
      <c r="F26" s="40" t="s">
        <v>171</v>
      </c>
      <c r="G26" s="40" t="s">
        <v>67</v>
      </c>
      <c r="H26" s="40" t="s">
        <v>104</v>
      </c>
      <c r="I26" s="40" t="s">
        <v>20</v>
      </c>
      <c r="J26" s="40" t="s">
        <v>65</v>
      </c>
      <c r="K26" s="41" t="s">
        <v>68</v>
      </c>
      <c r="L26" s="37" t="s">
        <v>71</v>
      </c>
      <c r="M26" s="37" t="s">
        <v>172</v>
      </c>
    </row>
    <row r="27" ht="21.75" customHeight="1">
      <c r="A27" s="42">
        <v>18.0</v>
      </c>
      <c r="B27" s="42" t="s">
        <v>173</v>
      </c>
      <c r="C27" s="43" t="s">
        <v>174</v>
      </c>
      <c r="D27" s="43" t="s">
        <v>176</v>
      </c>
      <c r="E27" s="42" t="s">
        <v>61</v>
      </c>
      <c r="F27" s="44" t="s">
        <v>88</v>
      </c>
      <c r="G27" s="44" t="s">
        <v>143</v>
      </c>
      <c r="H27" s="44" t="s">
        <v>97</v>
      </c>
      <c r="I27" s="44" t="s">
        <v>20</v>
      </c>
      <c r="J27" s="44" t="s">
        <v>20</v>
      </c>
      <c r="K27" s="47" t="s">
        <v>177</v>
      </c>
      <c r="L27" s="42" t="s">
        <v>71</v>
      </c>
      <c r="M27" s="42" t="s">
        <v>178</v>
      </c>
    </row>
    <row r="28" ht="21.75" customHeight="1">
      <c r="A28" s="37">
        <v>19.0</v>
      </c>
      <c r="B28" s="37" t="s">
        <v>179</v>
      </c>
      <c r="C28" s="38" t="s">
        <v>180</v>
      </c>
      <c r="D28" s="38" t="s">
        <v>181</v>
      </c>
      <c r="E28" s="37" t="s">
        <v>61</v>
      </c>
      <c r="F28" s="40" t="s">
        <v>62</v>
      </c>
      <c r="G28" s="40" t="s">
        <v>63</v>
      </c>
      <c r="H28" s="40" t="s">
        <v>64</v>
      </c>
      <c r="I28" s="40" t="s">
        <v>20</v>
      </c>
      <c r="J28" s="40" t="s">
        <v>65</v>
      </c>
      <c r="K28" s="41" t="s">
        <v>68</v>
      </c>
      <c r="L28" s="37" t="s">
        <v>71</v>
      </c>
      <c r="M28" s="37" t="s">
        <v>182</v>
      </c>
    </row>
    <row r="29" ht="21.75" customHeight="1">
      <c r="A29" s="42">
        <v>20.0</v>
      </c>
      <c r="B29" s="42" t="s">
        <v>183</v>
      </c>
      <c r="C29" s="43" t="s">
        <v>184</v>
      </c>
      <c r="D29" s="43" t="s">
        <v>185</v>
      </c>
      <c r="E29" s="42" t="s">
        <v>61</v>
      </c>
      <c r="F29" s="44" t="s">
        <v>62</v>
      </c>
      <c r="G29" s="44" t="s">
        <v>186</v>
      </c>
      <c r="H29" s="44" t="s">
        <v>90</v>
      </c>
      <c r="I29" s="44" t="s">
        <v>20</v>
      </c>
      <c r="J29" s="44" t="s">
        <v>20</v>
      </c>
      <c r="K29" s="47" t="s">
        <v>177</v>
      </c>
      <c r="L29" s="42" t="s">
        <v>71</v>
      </c>
      <c r="M29" s="42" t="s">
        <v>187</v>
      </c>
    </row>
    <row r="30" ht="21.75" customHeight="1">
      <c r="A30" s="37">
        <v>21.0</v>
      </c>
      <c r="B30" s="37" t="s">
        <v>188</v>
      </c>
      <c r="C30" s="38" t="s">
        <v>189</v>
      </c>
      <c r="D30" s="38" t="s">
        <v>190</v>
      </c>
      <c r="E30" s="37" t="s">
        <v>61</v>
      </c>
      <c r="F30" s="40" t="s">
        <v>87</v>
      </c>
      <c r="G30" s="40" t="s">
        <v>67</v>
      </c>
      <c r="H30" s="40" t="s">
        <v>118</v>
      </c>
      <c r="I30" s="40" t="s">
        <v>20</v>
      </c>
      <c r="J30" s="40" t="s">
        <v>65</v>
      </c>
      <c r="K30" s="41" t="s">
        <v>68</v>
      </c>
      <c r="L30" s="37" t="s">
        <v>71</v>
      </c>
      <c r="M30" s="37" t="s">
        <v>191</v>
      </c>
    </row>
    <row r="31" ht="21.75" customHeight="1">
      <c r="A31" s="42">
        <v>22.0</v>
      </c>
      <c r="B31" s="42" t="s">
        <v>192</v>
      </c>
      <c r="C31" s="43" t="s">
        <v>193</v>
      </c>
      <c r="D31" s="43" t="s">
        <v>194</v>
      </c>
      <c r="E31" s="42" t="s">
        <v>61</v>
      </c>
      <c r="F31" s="44" t="s">
        <v>117</v>
      </c>
      <c r="G31" s="44" t="s">
        <v>63</v>
      </c>
      <c r="H31" s="44" t="s">
        <v>90</v>
      </c>
      <c r="I31" s="44" t="s">
        <v>20</v>
      </c>
      <c r="J31" s="44" t="s">
        <v>65</v>
      </c>
      <c r="K31" s="41" t="s">
        <v>68</v>
      </c>
      <c r="L31" s="42" t="s">
        <v>71</v>
      </c>
      <c r="M31" s="42" t="s">
        <v>195</v>
      </c>
    </row>
    <row r="32" ht="21.75" customHeight="1">
      <c r="A32" s="37">
        <v>23.0</v>
      </c>
      <c r="B32" s="37" t="s">
        <v>197</v>
      </c>
      <c r="C32" s="38" t="s">
        <v>198</v>
      </c>
      <c r="D32" s="38" t="s">
        <v>199</v>
      </c>
      <c r="E32" s="37" t="s">
        <v>61</v>
      </c>
      <c r="F32" s="40" t="s">
        <v>87</v>
      </c>
      <c r="G32" s="40" t="s">
        <v>63</v>
      </c>
      <c r="H32" s="40" t="s">
        <v>69</v>
      </c>
      <c r="I32" s="40" t="s">
        <v>20</v>
      </c>
      <c r="J32" s="40" t="s">
        <v>65</v>
      </c>
      <c r="K32" s="41" t="s">
        <v>68</v>
      </c>
      <c r="L32" s="37" t="s">
        <v>71</v>
      </c>
      <c r="M32" s="37" t="s">
        <v>201</v>
      </c>
    </row>
    <row r="33" ht="21.75" customHeight="1">
      <c r="A33" s="42">
        <v>24.0</v>
      </c>
      <c r="B33" s="42" t="s">
        <v>202</v>
      </c>
      <c r="C33" s="43" t="s">
        <v>203</v>
      </c>
      <c r="D33" s="43" t="s">
        <v>204</v>
      </c>
      <c r="E33" s="42" t="s">
        <v>61</v>
      </c>
      <c r="F33" s="44" t="s">
        <v>87</v>
      </c>
      <c r="G33" s="44" t="s">
        <v>67</v>
      </c>
      <c r="H33" s="44" t="s">
        <v>118</v>
      </c>
      <c r="I33" s="44" t="s">
        <v>20</v>
      </c>
      <c r="J33" s="44" t="s">
        <v>65</v>
      </c>
      <c r="K33" s="41" t="s">
        <v>68</v>
      </c>
      <c r="L33" s="42" t="s">
        <v>71</v>
      </c>
      <c r="M33" s="42" t="s">
        <v>205</v>
      </c>
    </row>
    <row r="34" ht="21.75" customHeight="1">
      <c r="A34" s="37">
        <v>25.0</v>
      </c>
      <c r="B34" s="37" t="s">
        <v>206</v>
      </c>
      <c r="C34" s="38" t="s">
        <v>207</v>
      </c>
      <c r="D34" s="38" t="s">
        <v>208</v>
      </c>
      <c r="E34" s="37" t="s">
        <v>61</v>
      </c>
      <c r="F34" s="40" t="s">
        <v>117</v>
      </c>
      <c r="G34" s="40" t="s">
        <v>209</v>
      </c>
      <c r="H34" s="40" t="s">
        <v>97</v>
      </c>
      <c r="I34" s="40" t="s">
        <v>20</v>
      </c>
      <c r="J34" s="40" t="s">
        <v>65</v>
      </c>
      <c r="K34" s="41" t="s">
        <v>68</v>
      </c>
      <c r="L34" s="37" t="s">
        <v>71</v>
      </c>
      <c r="M34" s="37" t="s">
        <v>211</v>
      </c>
    </row>
    <row r="35" ht="21.75" customHeight="1">
      <c r="A35" s="42">
        <v>26.0</v>
      </c>
      <c r="B35" s="42" t="s">
        <v>212</v>
      </c>
      <c r="C35" s="43" t="s">
        <v>213</v>
      </c>
      <c r="D35" s="43" t="s">
        <v>214</v>
      </c>
      <c r="E35" s="42" t="s">
        <v>61</v>
      </c>
      <c r="F35" s="44" t="s">
        <v>117</v>
      </c>
      <c r="G35" s="44" t="s">
        <v>132</v>
      </c>
      <c r="H35" s="44" t="s">
        <v>133</v>
      </c>
      <c r="I35" s="44" t="s">
        <v>20</v>
      </c>
      <c r="J35" s="44" t="s">
        <v>20</v>
      </c>
      <c r="K35" s="47" t="s">
        <v>177</v>
      </c>
      <c r="L35" s="42" t="s">
        <v>71</v>
      </c>
      <c r="M35" s="42" t="s">
        <v>216</v>
      </c>
    </row>
    <row r="36" ht="21.75" customHeight="1">
      <c r="A36" s="37">
        <v>27.0</v>
      </c>
      <c r="B36" s="37" t="s">
        <v>217</v>
      </c>
      <c r="C36" s="38" t="s">
        <v>218</v>
      </c>
      <c r="D36" s="38" t="s">
        <v>219</v>
      </c>
      <c r="E36" s="37" t="s">
        <v>61</v>
      </c>
      <c r="F36" s="40" t="s">
        <v>77</v>
      </c>
      <c r="G36" s="40" t="s">
        <v>186</v>
      </c>
      <c r="H36" s="40" t="s">
        <v>69</v>
      </c>
      <c r="I36" s="40" t="s">
        <v>20</v>
      </c>
      <c r="J36" s="40" t="s">
        <v>65</v>
      </c>
      <c r="K36" s="41" t="s">
        <v>68</v>
      </c>
      <c r="L36" s="37" t="s">
        <v>71</v>
      </c>
      <c r="M36" s="37" t="s">
        <v>182</v>
      </c>
    </row>
    <row r="37" ht="21.75" customHeight="1">
      <c r="A37" s="42">
        <v>28.0</v>
      </c>
      <c r="B37" s="42" t="s">
        <v>221</v>
      </c>
      <c r="C37" s="43" t="s">
        <v>222</v>
      </c>
      <c r="D37" s="43" t="s">
        <v>223</v>
      </c>
      <c r="E37" s="42" t="s">
        <v>61</v>
      </c>
      <c r="F37" s="44" t="s">
        <v>117</v>
      </c>
      <c r="G37" s="44" t="s">
        <v>80</v>
      </c>
      <c r="H37" s="44" t="s">
        <v>118</v>
      </c>
      <c r="I37" s="44" t="s">
        <v>20</v>
      </c>
      <c r="J37" s="44" t="s">
        <v>89</v>
      </c>
      <c r="K37" s="41" t="s">
        <v>68</v>
      </c>
      <c r="L37" s="42" t="s">
        <v>71</v>
      </c>
      <c r="M37" s="42" t="s">
        <v>224</v>
      </c>
    </row>
    <row r="38" ht="21.75" customHeight="1">
      <c r="A38" s="37">
        <v>29.0</v>
      </c>
      <c r="B38" s="37" t="s">
        <v>226</v>
      </c>
      <c r="C38" s="38" t="s">
        <v>227</v>
      </c>
      <c r="D38" s="38" t="s">
        <v>228</v>
      </c>
      <c r="E38" s="37" t="s">
        <v>61</v>
      </c>
      <c r="F38" s="40" t="s">
        <v>87</v>
      </c>
      <c r="G38" s="40" t="s">
        <v>209</v>
      </c>
      <c r="H38" s="40" t="s">
        <v>125</v>
      </c>
      <c r="I38" s="40" t="s">
        <v>20</v>
      </c>
      <c r="J38" s="40" t="s">
        <v>65</v>
      </c>
      <c r="K38" s="41" t="s">
        <v>68</v>
      </c>
      <c r="L38" s="37" t="s">
        <v>71</v>
      </c>
      <c r="M38" s="37" t="s">
        <v>229</v>
      </c>
    </row>
    <row r="39" ht="21.75" customHeight="1">
      <c r="A39" s="42">
        <v>30.0</v>
      </c>
      <c r="B39" s="42" t="s">
        <v>230</v>
      </c>
      <c r="C39" s="43" t="s">
        <v>231</v>
      </c>
      <c r="D39" s="43" t="s">
        <v>232</v>
      </c>
      <c r="E39" s="42" t="s">
        <v>61</v>
      </c>
      <c r="F39" s="44" t="s">
        <v>186</v>
      </c>
      <c r="G39" s="44" t="s">
        <v>63</v>
      </c>
      <c r="H39" s="44" t="s">
        <v>81</v>
      </c>
      <c r="I39" s="44" t="s">
        <v>20</v>
      </c>
      <c r="J39" s="44" t="s">
        <v>65</v>
      </c>
      <c r="K39" s="41" t="s">
        <v>68</v>
      </c>
      <c r="L39" s="42" t="s">
        <v>71</v>
      </c>
      <c r="M39" s="42" t="s">
        <v>233</v>
      </c>
    </row>
    <row r="40" ht="21.75" customHeight="1">
      <c r="A40" s="37">
        <v>31.0</v>
      </c>
      <c r="B40" s="37" t="s">
        <v>234</v>
      </c>
      <c r="C40" s="38" t="s">
        <v>235</v>
      </c>
      <c r="D40" s="38" t="s">
        <v>236</v>
      </c>
      <c r="E40" s="37" t="s">
        <v>61</v>
      </c>
      <c r="F40" s="40" t="s">
        <v>77</v>
      </c>
      <c r="G40" s="40" t="s">
        <v>209</v>
      </c>
      <c r="H40" s="40" t="s">
        <v>90</v>
      </c>
      <c r="I40" s="40" t="s">
        <v>20</v>
      </c>
      <c r="J40" s="40" t="s">
        <v>65</v>
      </c>
      <c r="K40" s="41" t="s">
        <v>68</v>
      </c>
      <c r="L40" s="37" t="s">
        <v>71</v>
      </c>
      <c r="M40" s="37" t="s">
        <v>238</v>
      </c>
    </row>
    <row r="41" ht="21.75" customHeight="1">
      <c r="A41" s="42">
        <v>32.0</v>
      </c>
      <c r="B41" s="42" t="s">
        <v>239</v>
      </c>
      <c r="C41" s="43" t="s">
        <v>240</v>
      </c>
      <c r="D41" s="43" t="s">
        <v>241</v>
      </c>
      <c r="E41" s="42" t="s">
        <v>61</v>
      </c>
      <c r="F41" s="44" t="s">
        <v>66</v>
      </c>
      <c r="G41" s="44" t="s">
        <v>186</v>
      </c>
      <c r="H41" s="44" t="s">
        <v>79</v>
      </c>
      <c r="I41" s="44" t="s">
        <v>20</v>
      </c>
      <c r="J41" s="44" t="s">
        <v>65</v>
      </c>
      <c r="K41" s="41" t="s">
        <v>68</v>
      </c>
      <c r="L41" s="42" t="s">
        <v>71</v>
      </c>
      <c r="M41" s="42" t="s">
        <v>242</v>
      </c>
    </row>
    <row r="42" ht="21.75" customHeight="1">
      <c r="A42" s="37">
        <v>33.0</v>
      </c>
      <c r="B42" s="37" t="s">
        <v>243</v>
      </c>
      <c r="C42" s="38" t="s">
        <v>244</v>
      </c>
      <c r="D42" s="38" t="s">
        <v>245</v>
      </c>
      <c r="E42" s="37" t="s">
        <v>61</v>
      </c>
      <c r="F42" s="40" t="s">
        <v>88</v>
      </c>
      <c r="G42" s="40" t="s">
        <v>186</v>
      </c>
      <c r="H42" s="40" t="s">
        <v>118</v>
      </c>
      <c r="I42" s="40" t="s">
        <v>20</v>
      </c>
      <c r="J42" s="40" t="s">
        <v>65</v>
      </c>
      <c r="K42" s="41" t="s">
        <v>68</v>
      </c>
      <c r="L42" s="37" t="s">
        <v>71</v>
      </c>
      <c r="M42" s="37" t="s">
        <v>246</v>
      </c>
    </row>
    <row r="43" ht="21.75" customHeight="1">
      <c r="A43" s="42">
        <v>34.0</v>
      </c>
      <c r="B43" s="42" t="s">
        <v>247</v>
      </c>
      <c r="C43" s="43" t="s">
        <v>248</v>
      </c>
      <c r="D43" s="43" t="s">
        <v>249</v>
      </c>
      <c r="E43" s="42" t="s">
        <v>61</v>
      </c>
      <c r="F43" s="44" t="s">
        <v>77</v>
      </c>
      <c r="G43" s="44" t="s">
        <v>186</v>
      </c>
      <c r="H43" s="44" t="s">
        <v>69</v>
      </c>
      <c r="I43" s="44" t="s">
        <v>20</v>
      </c>
      <c r="J43" s="44" t="s">
        <v>65</v>
      </c>
      <c r="K43" s="41" t="s">
        <v>68</v>
      </c>
      <c r="L43" s="42" t="s">
        <v>71</v>
      </c>
      <c r="M43" s="42" t="s">
        <v>250</v>
      </c>
    </row>
    <row r="44" ht="21.75" customHeight="1">
      <c r="A44" s="37">
        <v>35.0</v>
      </c>
      <c r="B44" s="37" t="s">
        <v>251</v>
      </c>
      <c r="C44" s="38" t="s">
        <v>252</v>
      </c>
      <c r="D44" s="38" t="s">
        <v>253</v>
      </c>
      <c r="E44" s="37" t="s">
        <v>61</v>
      </c>
      <c r="F44" s="40" t="s">
        <v>117</v>
      </c>
      <c r="G44" s="40" t="s">
        <v>209</v>
      </c>
      <c r="H44" s="40" t="s">
        <v>97</v>
      </c>
      <c r="I44" s="40" t="s">
        <v>20</v>
      </c>
      <c r="J44" s="40" t="s">
        <v>65</v>
      </c>
      <c r="K44" s="41" t="s">
        <v>68</v>
      </c>
      <c r="L44" s="37" t="s">
        <v>71</v>
      </c>
      <c r="M44" s="37" t="s">
        <v>254</v>
      </c>
    </row>
    <row r="45" ht="21.75" customHeight="1">
      <c r="A45" s="42">
        <v>36.0</v>
      </c>
      <c r="B45" s="42" t="s">
        <v>255</v>
      </c>
      <c r="C45" s="43" t="s">
        <v>256</v>
      </c>
      <c r="D45" s="43" t="s">
        <v>257</v>
      </c>
      <c r="E45" s="42" t="s">
        <v>61</v>
      </c>
      <c r="F45" s="44" t="s">
        <v>117</v>
      </c>
      <c r="G45" s="44" t="s">
        <v>63</v>
      </c>
      <c r="H45" s="44" t="s">
        <v>90</v>
      </c>
      <c r="I45" s="44" t="s">
        <v>20</v>
      </c>
      <c r="J45" s="44" t="s">
        <v>65</v>
      </c>
      <c r="K45" s="41" t="s">
        <v>68</v>
      </c>
      <c r="L45" s="42" t="s">
        <v>71</v>
      </c>
      <c r="M45" s="42" t="s">
        <v>258</v>
      </c>
    </row>
    <row r="46" ht="21.75" customHeight="1">
      <c r="A46" s="37">
        <v>37.0</v>
      </c>
      <c r="B46" s="37" t="s">
        <v>259</v>
      </c>
      <c r="C46" s="38" t="s">
        <v>260</v>
      </c>
      <c r="D46" s="38" t="s">
        <v>261</v>
      </c>
      <c r="E46" s="37" t="s">
        <v>61</v>
      </c>
      <c r="F46" s="40" t="s">
        <v>152</v>
      </c>
      <c r="G46" s="40" t="s">
        <v>80</v>
      </c>
      <c r="H46" s="40" t="s">
        <v>64</v>
      </c>
      <c r="I46" s="40" t="s">
        <v>20</v>
      </c>
      <c r="J46" s="40" t="s">
        <v>20</v>
      </c>
      <c r="K46" s="47" t="s">
        <v>177</v>
      </c>
      <c r="L46" s="37" t="s">
        <v>71</v>
      </c>
      <c r="M46" s="37" t="s">
        <v>262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M2"/>
    <mergeCell ref="A3:M3"/>
    <mergeCell ref="A5:B5"/>
    <mergeCell ref="C5:D5"/>
    <mergeCell ref="E5:F5"/>
    <mergeCell ref="G5:H5"/>
    <mergeCell ref="I5:J5"/>
    <mergeCell ref="E7:F7"/>
    <mergeCell ref="G7:H7"/>
    <mergeCell ref="A6:B6"/>
    <mergeCell ref="C6:D6"/>
    <mergeCell ref="E6:F6"/>
    <mergeCell ref="G6:H6"/>
    <mergeCell ref="I6:J6"/>
    <mergeCell ref="A7:B7"/>
    <mergeCell ref="C7:D7"/>
    <mergeCell ref="I7:J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0"/>
    <col customWidth="1" min="2" max="2" width="14.0"/>
    <col customWidth="1" min="3" max="4" width="24.5"/>
    <col customWidth="1" min="5" max="5" width="13.13"/>
    <col customWidth="1" min="6" max="7" width="14.0"/>
    <col customWidth="1" min="8" max="10" width="13.13"/>
    <col customWidth="1" min="11" max="12" width="14.0"/>
    <col customWidth="1" min="13" max="13" width="19.25"/>
    <col customWidth="1" min="14" max="26" width="7.63"/>
  </cols>
  <sheetData>
    <row r="1" ht="9.75" customHeight="1"/>
    <row r="2" ht="33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9"/>
    </row>
    <row r="3" ht="24.0" customHeight="1">
      <c r="A3" s="11" t="s">
        <v>23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9"/>
    </row>
    <row r="4" ht="12.0" customHeight="1"/>
    <row r="5" ht="18.0" customHeight="1">
      <c r="A5" s="13" t="s">
        <v>26</v>
      </c>
      <c r="B5" s="15"/>
      <c r="C5" s="17" t="s">
        <v>30</v>
      </c>
      <c r="D5" s="18"/>
      <c r="E5" s="19" t="s">
        <v>31</v>
      </c>
      <c r="F5" s="20"/>
      <c r="G5" s="13" t="s">
        <v>32</v>
      </c>
      <c r="H5" s="15"/>
      <c r="I5" s="17" t="s">
        <v>33</v>
      </c>
      <c r="J5" s="18"/>
    </row>
    <row r="6" ht="25.5" customHeight="1">
      <c r="A6" s="21" t="s">
        <v>34</v>
      </c>
      <c r="B6" s="22"/>
      <c r="C6" s="23" t="s">
        <v>35</v>
      </c>
      <c r="D6" s="24"/>
      <c r="E6" s="25" t="s">
        <v>34</v>
      </c>
      <c r="F6" s="26"/>
      <c r="G6" s="21" t="s">
        <v>36</v>
      </c>
      <c r="H6" s="22"/>
      <c r="I6" s="23" t="s">
        <v>34</v>
      </c>
      <c r="J6" s="24"/>
    </row>
    <row r="7" ht="15.75" customHeight="1">
      <c r="A7" s="28" t="s">
        <v>37</v>
      </c>
      <c r="B7" s="30"/>
      <c r="C7" s="31" t="s">
        <v>38</v>
      </c>
      <c r="D7" s="32"/>
      <c r="E7" s="33" t="s">
        <v>40</v>
      </c>
      <c r="F7" s="34"/>
      <c r="G7" s="28" t="s">
        <v>41</v>
      </c>
      <c r="H7" s="30"/>
      <c r="I7" s="31" t="s">
        <v>43</v>
      </c>
      <c r="J7" s="32"/>
    </row>
    <row r="8" ht="13.5" customHeight="1"/>
    <row r="9" ht="27.75" customHeight="1">
      <c r="A9" s="35" t="s">
        <v>44</v>
      </c>
      <c r="B9" s="35" t="s">
        <v>45</v>
      </c>
      <c r="C9" s="36" t="s">
        <v>46</v>
      </c>
      <c r="D9" s="36" t="s">
        <v>47</v>
      </c>
      <c r="E9" s="35" t="s">
        <v>48</v>
      </c>
      <c r="F9" s="35" t="s">
        <v>49</v>
      </c>
      <c r="G9" s="35" t="s">
        <v>50</v>
      </c>
      <c r="H9" s="35" t="s">
        <v>51</v>
      </c>
      <c r="I9" s="35" t="s">
        <v>52</v>
      </c>
      <c r="J9" s="35" t="s">
        <v>53</v>
      </c>
      <c r="K9" s="35" t="s">
        <v>54</v>
      </c>
      <c r="L9" s="35" t="s">
        <v>55</v>
      </c>
      <c r="M9" s="35" t="s">
        <v>57</v>
      </c>
    </row>
    <row r="10" ht="21.75" customHeight="1">
      <c r="A10" s="37">
        <v>1.0</v>
      </c>
      <c r="B10" s="37" t="s">
        <v>58</v>
      </c>
      <c r="C10" s="38" t="s">
        <v>59</v>
      </c>
      <c r="D10" s="38" t="s">
        <v>60</v>
      </c>
      <c r="E10" s="37" t="s">
        <v>61</v>
      </c>
      <c r="F10" s="40" t="s">
        <v>66</v>
      </c>
      <c r="G10" s="40" t="s">
        <v>67</v>
      </c>
      <c r="H10" s="40" t="s">
        <v>69</v>
      </c>
      <c r="I10" s="40" t="s">
        <v>20</v>
      </c>
      <c r="J10" s="40" t="s">
        <v>65</v>
      </c>
      <c r="K10" s="41" t="s">
        <v>68</v>
      </c>
      <c r="L10" s="37" t="s">
        <v>71</v>
      </c>
      <c r="M10" s="37" t="s">
        <v>73</v>
      </c>
    </row>
    <row r="11" ht="21.75" customHeight="1">
      <c r="A11" s="42">
        <v>2.0</v>
      </c>
      <c r="B11" s="42" t="s">
        <v>74</v>
      </c>
      <c r="C11" s="43" t="s">
        <v>75</v>
      </c>
      <c r="D11" s="43" t="s">
        <v>76</v>
      </c>
      <c r="E11" s="42" t="s">
        <v>61</v>
      </c>
      <c r="F11" s="44" t="s">
        <v>66</v>
      </c>
      <c r="G11" s="44" t="s">
        <v>80</v>
      </c>
      <c r="H11" s="44" t="s">
        <v>81</v>
      </c>
      <c r="I11" s="44" t="s">
        <v>20</v>
      </c>
      <c r="J11" s="44" t="s">
        <v>65</v>
      </c>
      <c r="K11" s="41" t="s">
        <v>68</v>
      </c>
      <c r="L11" s="42" t="s">
        <v>71</v>
      </c>
      <c r="M11" s="42" t="s">
        <v>83</v>
      </c>
    </row>
    <row r="12" ht="21.75" customHeight="1">
      <c r="A12" s="37">
        <v>3.0</v>
      </c>
      <c r="B12" s="37" t="s">
        <v>84</v>
      </c>
      <c r="C12" s="38" t="s">
        <v>85</v>
      </c>
      <c r="D12" s="38" t="s">
        <v>86</v>
      </c>
      <c r="E12" s="37" t="s">
        <v>61</v>
      </c>
      <c r="F12" s="40" t="s">
        <v>88</v>
      </c>
      <c r="G12" s="40" t="s">
        <v>67</v>
      </c>
      <c r="H12" s="40" t="s">
        <v>90</v>
      </c>
      <c r="I12" s="40" t="s">
        <v>20</v>
      </c>
      <c r="J12" s="40" t="s">
        <v>89</v>
      </c>
      <c r="K12" s="41" t="s">
        <v>68</v>
      </c>
      <c r="L12" s="37" t="s">
        <v>71</v>
      </c>
      <c r="M12" s="37" t="s">
        <v>92</v>
      </c>
    </row>
    <row r="13" ht="21.75" customHeight="1">
      <c r="A13" s="42">
        <v>4.0</v>
      </c>
      <c r="B13" s="42" t="s">
        <v>93</v>
      </c>
      <c r="C13" s="43" t="s">
        <v>94</v>
      </c>
      <c r="D13" s="43" t="s">
        <v>95</v>
      </c>
      <c r="E13" s="42" t="s">
        <v>61</v>
      </c>
      <c r="F13" s="44" t="s">
        <v>77</v>
      </c>
      <c r="G13" s="44" t="s">
        <v>98</v>
      </c>
      <c r="H13" s="44" t="s">
        <v>97</v>
      </c>
      <c r="I13" s="44" t="s">
        <v>20</v>
      </c>
      <c r="J13" s="44" t="s">
        <v>65</v>
      </c>
      <c r="K13" s="41" t="s">
        <v>68</v>
      </c>
      <c r="L13" s="42" t="s">
        <v>71</v>
      </c>
      <c r="M13" s="42" t="s">
        <v>101</v>
      </c>
    </row>
    <row r="14" ht="21.75" customHeight="1">
      <c r="A14" s="37">
        <v>5.0</v>
      </c>
      <c r="B14" s="37" t="s">
        <v>100</v>
      </c>
      <c r="C14" s="38" t="s">
        <v>102</v>
      </c>
      <c r="D14" s="38" t="s">
        <v>103</v>
      </c>
      <c r="E14" s="37" t="s">
        <v>61</v>
      </c>
      <c r="F14" s="40" t="s">
        <v>66</v>
      </c>
      <c r="G14" s="40" t="s">
        <v>105</v>
      </c>
      <c r="H14" s="40" t="s">
        <v>104</v>
      </c>
      <c r="I14" s="40" t="s">
        <v>20</v>
      </c>
      <c r="J14" s="40" t="s">
        <v>65</v>
      </c>
      <c r="K14" s="41" t="s">
        <v>68</v>
      </c>
      <c r="L14" s="37" t="s">
        <v>71</v>
      </c>
      <c r="M14" s="37" t="s">
        <v>111</v>
      </c>
    </row>
    <row r="15" ht="21.75" customHeight="1">
      <c r="A15" s="42">
        <v>6.0</v>
      </c>
      <c r="B15" s="42" t="s">
        <v>108</v>
      </c>
      <c r="C15" s="43" t="s">
        <v>109</v>
      </c>
      <c r="D15" s="43" t="s">
        <v>110</v>
      </c>
      <c r="E15" s="42" t="s">
        <v>61</v>
      </c>
      <c r="F15" s="44" t="s">
        <v>87</v>
      </c>
      <c r="G15" s="44" t="s">
        <v>105</v>
      </c>
      <c r="H15" s="44" t="s">
        <v>115</v>
      </c>
      <c r="I15" s="44" t="s">
        <v>20</v>
      </c>
      <c r="J15" s="44" t="s">
        <v>65</v>
      </c>
      <c r="K15" s="41" t="s">
        <v>68</v>
      </c>
      <c r="L15" s="42" t="s">
        <v>71</v>
      </c>
      <c r="M15" s="42" t="s">
        <v>119</v>
      </c>
    </row>
    <row r="16" ht="21.75" customHeight="1">
      <c r="A16" s="37">
        <v>7.0</v>
      </c>
      <c r="B16" s="37" t="s">
        <v>113</v>
      </c>
      <c r="C16" s="38" t="s">
        <v>114</v>
      </c>
      <c r="D16" s="38" t="s">
        <v>116</v>
      </c>
      <c r="E16" s="37" t="s">
        <v>61</v>
      </c>
      <c r="F16" s="40" t="s">
        <v>88</v>
      </c>
      <c r="G16" s="40" t="s">
        <v>63</v>
      </c>
      <c r="H16" s="40" t="s">
        <v>125</v>
      </c>
      <c r="I16" s="40" t="s">
        <v>20</v>
      </c>
      <c r="J16" s="40" t="s">
        <v>65</v>
      </c>
      <c r="K16" s="41" t="s">
        <v>68</v>
      </c>
      <c r="L16" s="37" t="s">
        <v>71</v>
      </c>
      <c r="M16" s="37" t="s">
        <v>127</v>
      </c>
    </row>
    <row r="17" ht="21.75" customHeight="1">
      <c r="A17" s="42">
        <v>8.0</v>
      </c>
      <c r="B17" s="42" t="s">
        <v>121</v>
      </c>
      <c r="C17" s="43" t="s">
        <v>122</v>
      </c>
      <c r="D17" s="43" t="s">
        <v>123</v>
      </c>
      <c r="E17" s="42" t="s">
        <v>61</v>
      </c>
      <c r="F17" s="44" t="s">
        <v>117</v>
      </c>
      <c r="G17" s="44" t="s">
        <v>132</v>
      </c>
      <c r="H17" s="44" t="s">
        <v>133</v>
      </c>
      <c r="I17" s="44" t="s">
        <v>20</v>
      </c>
      <c r="J17" s="44" t="s">
        <v>65</v>
      </c>
      <c r="K17" s="41" t="s">
        <v>68</v>
      </c>
      <c r="L17" s="42" t="s">
        <v>71</v>
      </c>
      <c r="M17" s="42" t="s">
        <v>138</v>
      </c>
    </row>
    <row r="18" ht="21.75" customHeight="1">
      <c r="A18" s="37">
        <v>9.0</v>
      </c>
      <c r="B18" s="37" t="s">
        <v>128</v>
      </c>
      <c r="C18" s="38" t="s">
        <v>129</v>
      </c>
      <c r="D18" s="38" t="s">
        <v>130</v>
      </c>
      <c r="E18" s="37" t="s">
        <v>61</v>
      </c>
      <c r="F18" s="40" t="s">
        <v>63</v>
      </c>
      <c r="G18" s="40" t="s">
        <v>98</v>
      </c>
      <c r="H18" s="40" t="s">
        <v>69</v>
      </c>
      <c r="I18" s="40" t="s">
        <v>20</v>
      </c>
      <c r="J18" s="40" t="s">
        <v>65</v>
      </c>
      <c r="K18" s="41" t="s">
        <v>68</v>
      </c>
      <c r="L18" s="37" t="s">
        <v>71</v>
      </c>
      <c r="M18" s="37" t="s">
        <v>144</v>
      </c>
    </row>
    <row r="19" ht="21.75" customHeight="1">
      <c r="A19" s="42">
        <v>10.0</v>
      </c>
      <c r="B19" s="42" t="s">
        <v>135</v>
      </c>
      <c r="C19" s="43" t="s">
        <v>136</v>
      </c>
      <c r="D19" s="43" t="s">
        <v>137</v>
      </c>
      <c r="E19" s="42" t="s">
        <v>61</v>
      </c>
      <c r="F19" s="44" t="s">
        <v>62</v>
      </c>
      <c r="G19" s="44" t="s">
        <v>63</v>
      </c>
      <c r="H19" s="44" t="s">
        <v>64</v>
      </c>
      <c r="I19" s="44" t="s">
        <v>20</v>
      </c>
      <c r="J19" s="44" t="s">
        <v>65</v>
      </c>
      <c r="K19" s="41" t="s">
        <v>68</v>
      </c>
      <c r="L19" s="42" t="s">
        <v>71</v>
      </c>
      <c r="M19" s="42" t="s">
        <v>144</v>
      </c>
    </row>
    <row r="20" ht="21.75" customHeight="1">
      <c r="A20" s="37">
        <v>11.0</v>
      </c>
      <c r="B20" s="37" t="s">
        <v>140</v>
      </c>
      <c r="C20" s="38" t="s">
        <v>141</v>
      </c>
      <c r="D20" s="38" t="s">
        <v>142</v>
      </c>
      <c r="E20" s="37" t="s">
        <v>61</v>
      </c>
      <c r="F20" s="40" t="s">
        <v>62</v>
      </c>
      <c r="G20" s="40" t="s">
        <v>153</v>
      </c>
      <c r="H20" s="40" t="s">
        <v>154</v>
      </c>
      <c r="I20" s="40" t="s">
        <v>20</v>
      </c>
      <c r="J20" s="40" t="s">
        <v>89</v>
      </c>
      <c r="K20" s="41" t="s">
        <v>68</v>
      </c>
      <c r="L20" s="37" t="s">
        <v>71</v>
      </c>
      <c r="M20" s="37" t="s">
        <v>157</v>
      </c>
    </row>
    <row r="21" ht="21.75" customHeight="1">
      <c r="A21" s="42">
        <v>12.0</v>
      </c>
      <c r="B21" s="42" t="s">
        <v>145</v>
      </c>
      <c r="C21" s="43" t="s">
        <v>146</v>
      </c>
      <c r="D21" s="43" t="s">
        <v>147</v>
      </c>
      <c r="E21" s="42" t="s">
        <v>61</v>
      </c>
      <c r="F21" s="44" t="s">
        <v>87</v>
      </c>
      <c r="G21" s="44" t="s">
        <v>153</v>
      </c>
      <c r="H21" s="44" t="s">
        <v>104</v>
      </c>
      <c r="I21" s="44" t="s">
        <v>20</v>
      </c>
      <c r="J21" s="44" t="s">
        <v>65</v>
      </c>
      <c r="K21" s="41" t="s">
        <v>68</v>
      </c>
      <c r="L21" s="42" t="s">
        <v>71</v>
      </c>
      <c r="M21" s="42" t="s">
        <v>83</v>
      </c>
    </row>
    <row r="22" ht="21.75" customHeight="1">
      <c r="A22" s="37">
        <v>13.0</v>
      </c>
      <c r="B22" s="37" t="s">
        <v>149</v>
      </c>
      <c r="C22" s="38" t="s">
        <v>150</v>
      </c>
      <c r="D22" s="38" t="s">
        <v>151</v>
      </c>
      <c r="E22" s="37" t="s">
        <v>61</v>
      </c>
      <c r="F22" s="40" t="s">
        <v>77</v>
      </c>
      <c r="G22" s="40" t="s">
        <v>80</v>
      </c>
      <c r="H22" s="40" t="s">
        <v>131</v>
      </c>
      <c r="I22" s="40" t="s">
        <v>20</v>
      </c>
      <c r="J22" s="40" t="s">
        <v>65</v>
      </c>
      <c r="K22" s="41" t="s">
        <v>68</v>
      </c>
      <c r="L22" s="37" t="s">
        <v>71</v>
      </c>
      <c r="M22" s="37" t="s">
        <v>167</v>
      </c>
    </row>
    <row r="23" ht="21.75" customHeight="1">
      <c r="A23" s="42">
        <v>14.0</v>
      </c>
      <c r="B23" s="42" t="s">
        <v>156</v>
      </c>
      <c r="C23" s="43" t="s">
        <v>158</v>
      </c>
      <c r="D23" s="43" t="s">
        <v>159</v>
      </c>
      <c r="E23" s="42" t="s">
        <v>61</v>
      </c>
      <c r="F23" s="44" t="s">
        <v>87</v>
      </c>
      <c r="G23" s="44" t="s">
        <v>63</v>
      </c>
      <c r="H23" s="44" t="s">
        <v>69</v>
      </c>
      <c r="I23" s="44" t="s">
        <v>20</v>
      </c>
      <c r="J23" s="44" t="s">
        <v>65</v>
      </c>
      <c r="K23" s="41" t="s">
        <v>68</v>
      </c>
      <c r="L23" s="42" t="s">
        <v>71</v>
      </c>
      <c r="M23" s="42" t="s">
        <v>175</v>
      </c>
    </row>
    <row r="24" ht="21.75" customHeight="1">
      <c r="A24" s="37">
        <v>15.0</v>
      </c>
      <c r="B24" s="37" t="s">
        <v>160</v>
      </c>
      <c r="C24" s="38" t="s">
        <v>161</v>
      </c>
      <c r="D24" s="38" t="s">
        <v>162</v>
      </c>
      <c r="E24" s="37" t="s">
        <v>61</v>
      </c>
      <c r="F24" s="40" t="s">
        <v>62</v>
      </c>
      <c r="G24" s="40" t="s">
        <v>63</v>
      </c>
      <c r="H24" s="40" t="s">
        <v>64</v>
      </c>
      <c r="I24" s="40" t="s">
        <v>20</v>
      </c>
      <c r="J24" s="40" t="s">
        <v>65</v>
      </c>
      <c r="K24" s="41" t="s">
        <v>68</v>
      </c>
      <c r="L24" s="37" t="s">
        <v>71</v>
      </c>
      <c r="M24" s="37" t="s">
        <v>119</v>
      </c>
    </row>
    <row r="25" ht="21.75" customHeight="1">
      <c r="A25" s="42">
        <v>16.0</v>
      </c>
      <c r="B25" s="42" t="s">
        <v>164</v>
      </c>
      <c r="C25" s="43" t="s">
        <v>165</v>
      </c>
      <c r="D25" s="43" t="s">
        <v>166</v>
      </c>
      <c r="E25" s="42" t="s">
        <v>61</v>
      </c>
      <c r="F25" s="44" t="s">
        <v>88</v>
      </c>
      <c r="G25" s="44" t="s">
        <v>132</v>
      </c>
      <c r="H25" s="44" t="s">
        <v>115</v>
      </c>
      <c r="I25" s="44" t="s">
        <v>20</v>
      </c>
      <c r="J25" s="48">
        <v>10.0</v>
      </c>
      <c r="K25" s="41" t="s">
        <v>68</v>
      </c>
      <c r="L25" s="42" t="s">
        <v>71</v>
      </c>
      <c r="M25" s="42" t="s">
        <v>111</v>
      </c>
    </row>
    <row r="26" ht="21.75" customHeight="1">
      <c r="A26" s="37">
        <v>17.0</v>
      </c>
      <c r="B26" s="37" t="s">
        <v>168</v>
      </c>
      <c r="C26" s="38" t="s">
        <v>169</v>
      </c>
      <c r="D26" s="38" t="s">
        <v>170</v>
      </c>
      <c r="E26" s="37" t="s">
        <v>61</v>
      </c>
      <c r="F26" s="40" t="s">
        <v>87</v>
      </c>
      <c r="G26" s="40" t="s">
        <v>153</v>
      </c>
      <c r="H26" s="40" t="s">
        <v>104</v>
      </c>
      <c r="I26" s="40" t="s">
        <v>20</v>
      </c>
      <c r="J26" s="40" t="s">
        <v>65</v>
      </c>
      <c r="K26" s="41" t="s">
        <v>68</v>
      </c>
      <c r="L26" s="37" t="s">
        <v>71</v>
      </c>
      <c r="M26" s="37" t="s">
        <v>119</v>
      </c>
    </row>
    <row r="27" ht="21.75" customHeight="1">
      <c r="A27" s="42">
        <v>18.0</v>
      </c>
      <c r="B27" s="42" t="s">
        <v>173</v>
      </c>
      <c r="C27" s="43" t="s">
        <v>174</v>
      </c>
      <c r="D27" s="43" t="s">
        <v>176</v>
      </c>
      <c r="E27" s="42" t="s">
        <v>61</v>
      </c>
      <c r="F27" s="44" t="s">
        <v>117</v>
      </c>
      <c r="G27" s="44" t="s">
        <v>67</v>
      </c>
      <c r="H27" s="44" t="s">
        <v>64</v>
      </c>
      <c r="I27" s="44" t="s">
        <v>20</v>
      </c>
      <c r="J27" s="44" t="s">
        <v>65</v>
      </c>
      <c r="K27" s="41" t="s">
        <v>68</v>
      </c>
      <c r="L27" s="42" t="s">
        <v>71</v>
      </c>
      <c r="M27" s="42" t="s">
        <v>196</v>
      </c>
    </row>
    <row r="28" ht="21.75" customHeight="1">
      <c r="A28" s="37">
        <v>19.0</v>
      </c>
      <c r="B28" s="37" t="s">
        <v>179</v>
      </c>
      <c r="C28" s="38" t="s">
        <v>180</v>
      </c>
      <c r="D28" s="38" t="s">
        <v>181</v>
      </c>
      <c r="E28" s="37" t="s">
        <v>61</v>
      </c>
      <c r="F28" s="40" t="s">
        <v>62</v>
      </c>
      <c r="G28" s="40" t="s">
        <v>105</v>
      </c>
      <c r="H28" s="40" t="s">
        <v>200</v>
      </c>
      <c r="I28" s="40" t="s">
        <v>20</v>
      </c>
      <c r="J28" s="40" t="s">
        <v>65</v>
      </c>
      <c r="K28" s="41" t="s">
        <v>68</v>
      </c>
      <c r="L28" s="37" t="s">
        <v>71</v>
      </c>
      <c r="M28" s="37" t="s">
        <v>119</v>
      </c>
    </row>
    <row r="29" ht="21.75" customHeight="1">
      <c r="A29" s="42">
        <v>20.0</v>
      </c>
      <c r="B29" s="42" t="s">
        <v>183</v>
      </c>
      <c r="C29" s="43" t="s">
        <v>184</v>
      </c>
      <c r="D29" s="43" t="s">
        <v>185</v>
      </c>
      <c r="E29" s="42" t="s">
        <v>61</v>
      </c>
      <c r="F29" s="44" t="s">
        <v>117</v>
      </c>
      <c r="G29" s="44" t="s">
        <v>80</v>
      </c>
      <c r="H29" s="44" t="s">
        <v>118</v>
      </c>
      <c r="I29" s="44" t="s">
        <v>20</v>
      </c>
      <c r="J29" s="44" t="s">
        <v>65</v>
      </c>
      <c r="K29" s="41" t="s">
        <v>68</v>
      </c>
      <c r="L29" s="42" t="s">
        <v>71</v>
      </c>
      <c r="M29" s="42" t="s">
        <v>82</v>
      </c>
    </row>
    <row r="30" ht="21.75" customHeight="1">
      <c r="A30" s="37">
        <v>21.0</v>
      </c>
      <c r="B30" s="37" t="s">
        <v>188</v>
      </c>
      <c r="C30" s="38" t="s">
        <v>189</v>
      </c>
      <c r="D30" s="38" t="s">
        <v>190</v>
      </c>
      <c r="E30" s="37" t="s">
        <v>61</v>
      </c>
      <c r="F30" s="40" t="s">
        <v>66</v>
      </c>
      <c r="G30" s="40" t="s">
        <v>153</v>
      </c>
      <c r="H30" s="40" t="s">
        <v>97</v>
      </c>
      <c r="I30" s="40" t="s">
        <v>20</v>
      </c>
      <c r="J30" s="40" t="s">
        <v>65</v>
      </c>
      <c r="K30" s="41" t="s">
        <v>68</v>
      </c>
      <c r="L30" s="37" t="s">
        <v>71</v>
      </c>
      <c r="M30" s="37" t="s">
        <v>210</v>
      </c>
    </row>
    <row r="31" ht="21.75" customHeight="1">
      <c r="A31" s="42">
        <v>22.0</v>
      </c>
      <c r="B31" s="42" t="s">
        <v>192</v>
      </c>
      <c r="C31" s="43" t="s">
        <v>193</v>
      </c>
      <c r="D31" s="43" t="s">
        <v>194</v>
      </c>
      <c r="E31" s="42" t="s">
        <v>61</v>
      </c>
      <c r="F31" s="44" t="s">
        <v>88</v>
      </c>
      <c r="G31" s="44" t="s">
        <v>63</v>
      </c>
      <c r="H31" s="44" t="s">
        <v>125</v>
      </c>
      <c r="I31" s="44" t="s">
        <v>20</v>
      </c>
      <c r="J31" s="44" t="s">
        <v>65</v>
      </c>
      <c r="K31" s="41" t="s">
        <v>68</v>
      </c>
      <c r="L31" s="42" t="s">
        <v>71</v>
      </c>
      <c r="M31" s="42" t="s">
        <v>215</v>
      </c>
    </row>
    <row r="32" ht="21.75" customHeight="1">
      <c r="A32" s="37">
        <v>23.0</v>
      </c>
      <c r="B32" s="37" t="s">
        <v>197</v>
      </c>
      <c r="C32" s="38" t="s">
        <v>198</v>
      </c>
      <c r="D32" s="38" t="s">
        <v>199</v>
      </c>
      <c r="E32" s="37" t="s">
        <v>61</v>
      </c>
      <c r="F32" s="40" t="s">
        <v>66</v>
      </c>
      <c r="G32" s="40" t="s">
        <v>67</v>
      </c>
      <c r="H32" s="40" t="s">
        <v>69</v>
      </c>
      <c r="I32" s="40" t="s">
        <v>20</v>
      </c>
      <c r="J32" s="40" t="s">
        <v>65</v>
      </c>
      <c r="K32" s="41" t="s">
        <v>68</v>
      </c>
      <c r="L32" s="37" t="s">
        <v>71</v>
      </c>
      <c r="M32" s="37" t="s">
        <v>220</v>
      </c>
    </row>
    <row r="33" ht="21.75" customHeight="1">
      <c r="A33" s="42">
        <v>24.0</v>
      </c>
      <c r="B33" s="42" t="s">
        <v>202</v>
      </c>
      <c r="C33" s="43" t="s">
        <v>203</v>
      </c>
      <c r="D33" s="43" t="s">
        <v>204</v>
      </c>
      <c r="E33" s="42" t="s">
        <v>61</v>
      </c>
      <c r="F33" s="44" t="s">
        <v>87</v>
      </c>
      <c r="G33" s="44" t="s">
        <v>63</v>
      </c>
      <c r="H33" s="44" t="s">
        <v>69</v>
      </c>
      <c r="I33" s="44" t="s">
        <v>20</v>
      </c>
      <c r="J33" s="44" t="s">
        <v>65</v>
      </c>
      <c r="K33" s="41" t="s">
        <v>68</v>
      </c>
      <c r="L33" s="42" t="s">
        <v>71</v>
      </c>
      <c r="M33" s="42" t="s">
        <v>225</v>
      </c>
    </row>
    <row r="34" ht="21.75" customHeight="1">
      <c r="A34" s="37">
        <v>25.0</v>
      </c>
      <c r="B34" s="37" t="s">
        <v>206</v>
      </c>
      <c r="C34" s="38" t="s">
        <v>207</v>
      </c>
      <c r="D34" s="38" t="s">
        <v>208</v>
      </c>
      <c r="E34" s="37" t="s">
        <v>61</v>
      </c>
      <c r="F34" s="40" t="s">
        <v>77</v>
      </c>
      <c r="G34" s="40" t="s">
        <v>67</v>
      </c>
      <c r="H34" s="40" t="s">
        <v>125</v>
      </c>
      <c r="I34" s="40" t="s">
        <v>20</v>
      </c>
      <c r="J34" s="40" t="s">
        <v>65</v>
      </c>
      <c r="K34" s="41" t="s">
        <v>68</v>
      </c>
      <c r="L34" s="37" t="s">
        <v>71</v>
      </c>
      <c r="M34" s="37" t="s">
        <v>237</v>
      </c>
    </row>
    <row r="35" ht="21.75" customHeight="1">
      <c r="A35" s="42">
        <v>26.0</v>
      </c>
      <c r="B35" s="42" t="s">
        <v>212</v>
      </c>
      <c r="C35" s="43" t="s">
        <v>213</v>
      </c>
      <c r="D35" s="43" t="s">
        <v>214</v>
      </c>
      <c r="E35" s="42" t="s">
        <v>61</v>
      </c>
      <c r="F35" s="44" t="s">
        <v>171</v>
      </c>
      <c r="G35" s="44" t="s">
        <v>80</v>
      </c>
      <c r="H35" s="44" t="s">
        <v>90</v>
      </c>
      <c r="I35" s="44" t="s">
        <v>20</v>
      </c>
      <c r="J35" s="44" t="s">
        <v>65</v>
      </c>
      <c r="K35" s="41" t="s">
        <v>68</v>
      </c>
      <c r="L35" s="42" t="s">
        <v>71</v>
      </c>
      <c r="M35" s="42" t="s">
        <v>237</v>
      </c>
    </row>
    <row r="36" ht="21.75" customHeight="1">
      <c r="A36" s="37">
        <v>27.0</v>
      </c>
      <c r="B36" s="37" t="s">
        <v>217</v>
      </c>
      <c r="C36" s="38" t="s">
        <v>218</v>
      </c>
      <c r="D36" s="38" t="s">
        <v>219</v>
      </c>
      <c r="E36" s="37" t="s">
        <v>61</v>
      </c>
      <c r="F36" s="40" t="s">
        <v>117</v>
      </c>
      <c r="G36" s="40" t="s">
        <v>186</v>
      </c>
      <c r="H36" s="40" t="s">
        <v>125</v>
      </c>
      <c r="I36" s="40" t="s">
        <v>20</v>
      </c>
      <c r="J36" s="40" t="s">
        <v>65</v>
      </c>
      <c r="K36" s="41" t="s">
        <v>68</v>
      </c>
      <c r="L36" s="37" t="s">
        <v>71</v>
      </c>
      <c r="M36" s="37" t="s">
        <v>83</v>
      </c>
    </row>
    <row r="37" ht="21.75" customHeight="1">
      <c r="A37" s="42">
        <v>28.0</v>
      </c>
      <c r="B37" s="42" t="s">
        <v>221</v>
      </c>
      <c r="C37" s="43" t="s">
        <v>222</v>
      </c>
      <c r="D37" s="43" t="s">
        <v>223</v>
      </c>
      <c r="E37" s="42" t="s">
        <v>61</v>
      </c>
      <c r="F37" s="44" t="s">
        <v>62</v>
      </c>
      <c r="G37" s="44" t="s">
        <v>63</v>
      </c>
      <c r="H37" s="44" t="s">
        <v>64</v>
      </c>
      <c r="I37" s="44" t="s">
        <v>20</v>
      </c>
      <c r="J37" s="44" t="s">
        <v>65</v>
      </c>
      <c r="K37" s="41" t="s">
        <v>68</v>
      </c>
      <c r="L37" s="42" t="s">
        <v>71</v>
      </c>
      <c r="M37" s="42" t="s">
        <v>215</v>
      </c>
    </row>
    <row r="38" ht="21.75" customHeight="1">
      <c r="A38" s="37">
        <v>29.0</v>
      </c>
      <c r="B38" s="37" t="s">
        <v>226</v>
      </c>
      <c r="C38" s="38" t="s">
        <v>227</v>
      </c>
      <c r="D38" s="38" t="s">
        <v>228</v>
      </c>
      <c r="E38" s="37" t="s">
        <v>61</v>
      </c>
      <c r="F38" s="40" t="s">
        <v>66</v>
      </c>
      <c r="G38" s="40" t="s">
        <v>63</v>
      </c>
      <c r="H38" s="40" t="s">
        <v>131</v>
      </c>
      <c r="I38" s="40" t="s">
        <v>20</v>
      </c>
      <c r="J38" s="40" t="s">
        <v>65</v>
      </c>
      <c r="K38" s="41" t="s">
        <v>68</v>
      </c>
      <c r="L38" s="37" t="s">
        <v>71</v>
      </c>
      <c r="M38" s="37" t="s">
        <v>196</v>
      </c>
    </row>
    <row r="39" ht="21.75" customHeight="1">
      <c r="A39" s="42">
        <v>30.0</v>
      </c>
      <c r="B39" s="42" t="s">
        <v>230</v>
      </c>
      <c r="C39" s="43" t="s">
        <v>231</v>
      </c>
      <c r="D39" s="43" t="s">
        <v>232</v>
      </c>
      <c r="E39" s="42" t="s">
        <v>61</v>
      </c>
      <c r="F39" s="44" t="s">
        <v>67</v>
      </c>
      <c r="G39" s="44" t="s">
        <v>105</v>
      </c>
      <c r="H39" s="44" t="s">
        <v>125</v>
      </c>
      <c r="I39" s="44" t="s">
        <v>20</v>
      </c>
      <c r="J39" s="44" t="s">
        <v>65</v>
      </c>
      <c r="K39" s="41" t="s">
        <v>68</v>
      </c>
      <c r="L39" s="42" t="s">
        <v>71</v>
      </c>
      <c r="M39" s="42" t="s">
        <v>144</v>
      </c>
    </row>
    <row r="40" ht="21.75" customHeight="1">
      <c r="A40" s="37">
        <v>31.0</v>
      </c>
      <c r="B40" s="37" t="s">
        <v>234</v>
      </c>
      <c r="C40" s="38" t="s">
        <v>235</v>
      </c>
      <c r="D40" s="38" t="s">
        <v>236</v>
      </c>
      <c r="E40" s="37" t="s">
        <v>61</v>
      </c>
      <c r="F40" s="40" t="s">
        <v>152</v>
      </c>
      <c r="G40" s="40" t="s">
        <v>186</v>
      </c>
      <c r="H40" s="40" t="s">
        <v>97</v>
      </c>
      <c r="I40" s="40" t="s">
        <v>20</v>
      </c>
      <c r="J40" s="40" t="s">
        <v>65</v>
      </c>
      <c r="K40" s="41" t="s">
        <v>68</v>
      </c>
      <c r="L40" s="37" t="s">
        <v>71</v>
      </c>
      <c r="M40" s="37" t="s">
        <v>237</v>
      </c>
    </row>
    <row r="41" ht="21.75" customHeight="1">
      <c r="A41" s="42">
        <v>32.0</v>
      </c>
      <c r="B41" s="42" t="s">
        <v>239</v>
      </c>
      <c r="C41" s="43" t="s">
        <v>240</v>
      </c>
      <c r="D41" s="43" t="s">
        <v>241</v>
      </c>
      <c r="E41" s="42" t="s">
        <v>61</v>
      </c>
      <c r="F41" s="44" t="s">
        <v>77</v>
      </c>
      <c r="G41" s="44" t="s">
        <v>63</v>
      </c>
      <c r="H41" s="44" t="s">
        <v>118</v>
      </c>
      <c r="I41" s="44" t="s">
        <v>20</v>
      </c>
      <c r="J41" s="44" t="s">
        <v>65</v>
      </c>
      <c r="K41" s="41" t="s">
        <v>68</v>
      </c>
      <c r="L41" s="42" t="s">
        <v>71</v>
      </c>
      <c r="M41" s="42" t="s">
        <v>263</v>
      </c>
    </row>
    <row r="42" ht="21.75" customHeight="1">
      <c r="A42" s="37">
        <v>33.0</v>
      </c>
      <c r="B42" s="37" t="s">
        <v>243</v>
      </c>
      <c r="C42" s="38" t="s">
        <v>244</v>
      </c>
      <c r="D42" s="38" t="s">
        <v>245</v>
      </c>
      <c r="E42" s="37" t="s">
        <v>61</v>
      </c>
      <c r="F42" s="40" t="s">
        <v>62</v>
      </c>
      <c r="G42" s="40" t="s">
        <v>63</v>
      </c>
      <c r="H42" s="40" t="s">
        <v>64</v>
      </c>
      <c r="I42" s="40" t="s">
        <v>20</v>
      </c>
      <c r="J42" s="40" t="s">
        <v>65</v>
      </c>
      <c r="K42" s="41" t="s">
        <v>68</v>
      </c>
      <c r="L42" s="37" t="s">
        <v>71</v>
      </c>
      <c r="M42" s="37" t="s">
        <v>264</v>
      </c>
    </row>
    <row r="43" ht="21.75" customHeight="1">
      <c r="A43" s="42">
        <v>34.0</v>
      </c>
      <c r="B43" s="42" t="s">
        <v>247</v>
      </c>
      <c r="C43" s="43" t="s">
        <v>248</v>
      </c>
      <c r="D43" s="43" t="s">
        <v>249</v>
      </c>
      <c r="E43" s="42" t="s">
        <v>61</v>
      </c>
      <c r="F43" s="44" t="s">
        <v>117</v>
      </c>
      <c r="G43" s="44" t="s">
        <v>186</v>
      </c>
      <c r="H43" s="44" t="s">
        <v>125</v>
      </c>
      <c r="I43" s="44" t="s">
        <v>20</v>
      </c>
      <c r="J43" s="44" t="s">
        <v>65</v>
      </c>
      <c r="K43" s="41" t="s">
        <v>68</v>
      </c>
      <c r="L43" s="42" t="s">
        <v>71</v>
      </c>
      <c r="M43" s="42" t="s">
        <v>242</v>
      </c>
    </row>
    <row r="44" ht="21.75" customHeight="1">
      <c r="A44" s="37">
        <v>35.0</v>
      </c>
      <c r="B44" s="37" t="s">
        <v>251</v>
      </c>
      <c r="C44" s="38" t="s">
        <v>252</v>
      </c>
      <c r="D44" s="38" t="s">
        <v>253</v>
      </c>
      <c r="E44" s="37" t="s">
        <v>61</v>
      </c>
      <c r="F44" s="40" t="s">
        <v>62</v>
      </c>
      <c r="G44" s="40" t="s">
        <v>143</v>
      </c>
      <c r="H44" s="40" t="s">
        <v>115</v>
      </c>
      <c r="I44" s="40" t="s">
        <v>20</v>
      </c>
      <c r="J44" s="40" t="s">
        <v>65</v>
      </c>
      <c r="K44" s="41" t="s">
        <v>68</v>
      </c>
      <c r="L44" s="37" t="s">
        <v>71</v>
      </c>
      <c r="M44" s="37" t="s">
        <v>134</v>
      </c>
    </row>
    <row r="45" ht="21.75" customHeight="1">
      <c r="A45" s="42">
        <v>36.0</v>
      </c>
      <c r="B45" s="42" t="s">
        <v>255</v>
      </c>
      <c r="C45" s="43" t="s">
        <v>256</v>
      </c>
      <c r="D45" s="43" t="s">
        <v>257</v>
      </c>
      <c r="E45" s="42" t="s">
        <v>61</v>
      </c>
      <c r="F45" s="44" t="s">
        <v>152</v>
      </c>
      <c r="G45" s="44" t="s">
        <v>98</v>
      </c>
      <c r="H45" s="44" t="s">
        <v>154</v>
      </c>
      <c r="I45" s="44" t="s">
        <v>20</v>
      </c>
      <c r="J45" s="44" t="s">
        <v>65</v>
      </c>
      <c r="K45" s="41" t="s">
        <v>68</v>
      </c>
      <c r="L45" s="42" t="s">
        <v>71</v>
      </c>
      <c r="M45" s="42" t="s">
        <v>242</v>
      </c>
    </row>
    <row r="46" ht="21.75" customHeight="1">
      <c r="A46" s="37">
        <v>37.0</v>
      </c>
      <c r="B46" s="37" t="s">
        <v>259</v>
      </c>
      <c r="C46" s="38" t="s">
        <v>260</v>
      </c>
      <c r="D46" s="38" t="s">
        <v>261</v>
      </c>
      <c r="E46" s="37" t="s">
        <v>61</v>
      </c>
      <c r="F46" s="40" t="s">
        <v>87</v>
      </c>
      <c r="G46" s="40" t="s">
        <v>63</v>
      </c>
      <c r="H46" s="40" t="s">
        <v>69</v>
      </c>
      <c r="I46" s="40" t="s">
        <v>20</v>
      </c>
      <c r="J46" s="40" t="s">
        <v>65</v>
      </c>
      <c r="K46" s="41" t="s">
        <v>68</v>
      </c>
      <c r="L46" s="37" t="s">
        <v>71</v>
      </c>
      <c r="M46" s="37" t="s">
        <v>201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M2"/>
    <mergeCell ref="A3:M3"/>
    <mergeCell ref="A5:B5"/>
    <mergeCell ref="C5:D5"/>
    <mergeCell ref="E5:F5"/>
    <mergeCell ref="G5:H5"/>
    <mergeCell ref="I5:J5"/>
    <mergeCell ref="E7:F7"/>
    <mergeCell ref="G7:H7"/>
    <mergeCell ref="A6:B6"/>
    <mergeCell ref="C6:D6"/>
    <mergeCell ref="E6:F6"/>
    <mergeCell ref="G6:H6"/>
    <mergeCell ref="I6:J6"/>
    <mergeCell ref="A7:B7"/>
    <mergeCell ref="C7:D7"/>
    <mergeCell ref="I7:J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5" max="15" width="70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>
      <c r="A2" s="5">
        <v>46279.546875</v>
      </c>
      <c r="B2" s="1" t="s">
        <v>17</v>
      </c>
      <c r="C2" s="1">
        <v>5.0</v>
      </c>
      <c r="D2" s="1">
        <v>5.0</v>
      </c>
      <c r="E2" s="1">
        <v>5.0</v>
      </c>
      <c r="F2" s="1">
        <v>5.0</v>
      </c>
      <c r="G2" s="1">
        <v>5.0</v>
      </c>
      <c r="H2" s="1">
        <v>5.0</v>
      </c>
      <c r="I2" s="1">
        <v>5.0</v>
      </c>
      <c r="J2" s="1">
        <v>5.0</v>
      </c>
      <c r="K2" s="1">
        <v>5.0</v>
      </c>
      <c r="L2" s="1">
        <v>5.0</v>
      </c>
      <c r="M2" s="1">
        <v>5.0</v>
      </c>
      <c r="N2" s="1">
        <v>5.0</v>
      </c>
      <c r="O2" s="1" t="s">
        <v>18</v>
      </c>
    </row>
    <row r="3">
      <c r="A3" s="5">
        <v>46282.43488425926</v>
      </c>
      <c r="B3" s="1" t="s">
        <v>19</v>
      </c>
      <c r="C3" s="1">
        <v>5.0</v>
      </c>
      <c r="D3" s="1">
        <v>4.0</v>
      </c>
      <c r="E3" s="1">
        <v>5.0</v>
      </c>
      <c r="F3" s="1">
        <v>5.0</v>
      </c>
      <c r="G3" s="1">
        <v>5.0</v>
      </c>
      <c r="H3" s="1">
        <v>5.0</v>
      </c>
      <c r="I3" s="1">
        <v>5.0</v>
      </c>
      <c r="J3" s="1">
        <v>5.0</v>
      </c>
      <c r="K3" s="1">
        <v>5.0</v>
      </c>
      <c r="L3" s="1">
        <v>5.0</v>
      </c>
      <c r="M3" s="1">
        <v>4.0</v>
      </c>
      <c r="N3" s="1">
        <v>5.0</v>
      </c>
      <c r="O3" s="1" t="s">
        <v>20</v>
      </c>
    </row>
    <row r="4">
      <c r="A4" s="5">
        <v>46282.59701388889</v>
      </c>
      <c r="B4" s="1" t="s">
        <v>21</v>
      </c>
      <c r="C4" s="1">
        <v>4.0</v>
      </c>
      <c r="D4" s="1">
        <v>4.0</v>
      </c>
      <c r="E4" s="1">
        <v>4.0</v>
      </c>
      <c r="F4" s="1">
        <v>3.0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  <c r="M4" s="1">
        <v>4.0</v>
      </c>
      <c r="N4" s="1">
        <v>4.0</v>
      </c>
      <c r="O4" s="1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44.63"/>
    <col customWidth="1" min="3" max="3" width="27.75"/>
  </cols>
  <sheetData>
    <row r="1">
      <c r="A1" s="4" t="s">
        <v>2</v>
      </c>
      <c r="B1" s="6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25</v>
      </c>
      <c r="B3" s="12" t="s">
        <v>27</v>
      </c>
      <c r="C3" s="12" t="s">
        <v>28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 t="s">
        <v>29</v>
      </c>
      <c r="B4" s="27">
        <f>IFERROR(__xludf.DUMMYFUNCTION("AVERAGE(ARRAYFORMULA(VALUE(FILTER('คะแนนเด็กบท6'!J10:J46,REGEXMATCH('คะแนนเด็กบท6'!J10:J46,""^[0-9]+$"")))))/10*100"),98.7878787878788)</f>
        <v>98.78787879</v>
      </c>
      <c r="C4" s="2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 t="s">
        <v>39</v>
      </c>
      <c r="B5" s="27">
        <f>IFERROR(__xludf.DUMMYFUNCTION("AVERAGE(ARRAYFORMULA(VALUE(FILTER('คะแนนเด็กบท7'!J10:J46,REGEXMATCH('คะแนนเด็กบท7'!J10:J46,""^[0-9]+$"")))))/10*100"),98.88888888888889)</f>
        <v>98.88888889</v>
      </c>
      <c r="C5" s="2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6" t="s">
        <v>42</v>
      </c>
      <c r="B6" s="27">
        <f>IFERROR(__xludf.DUMMYFUNCTION("AVERAGE(FILTER(VALUE('คะแนนเด็กบท6'!J10:J46)+VALUE('คะแนนเด็กบท7'!J10:J46), ISNUMBER(VALUE('คะแนนเด็กบท6'!J10:J46)), ISNUMBER(VALUE('คะแนนเด็กบท7'!J10:J46))))/20*100"),98.7878787878788)</f>
        <v>98.78787879</v>
      </c>
      <c r="C6" s="16" t="s">
        <v>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9"/>
      <c r="B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6" t="s">
        <v>70</v>
      </c>
      <c r="B8" s="27">
        <f>IFERROR(__xludf.DUMMYFUNCTION("AVERAGE(ARRAYFORMULA(VALUE(REGEXEXTRACT('คะแนนเด็กบท6'!G10:G46,""^(\d+)""))))/20*100"),65.4054054054054)</f>
        <v>65.40540541</v>
      </c>
      <c r="C8" s="2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78</v>
      </c>
      <c r="B9" s="27">
        <f>IFERROR(__xludf.DUMMYFUNCTION("AVERAGE(ARRAYFORMULA(VALUE(REGEXEXTRACT('คะแนนเด็กบท7'!G10:G46,""^(\d+)""))))/20*100"),74.5945945945946)</f>
        <v>74.59459459</v>
      </c>
      <c r="C9" s="2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 t="s">
        <v>96</v>
      </c>
      <c r="B10" s="27">
        <f>IFERROR(__xludf.DUMMYFUNCTION("AVERAGE(ARRAYFORMULA(VALUE(REGEXEXTRACT('คะแนนเด็กบท6'!G10:G46,""^(\d+)""))+VALUE(REGEXEXTRACT('คะแนนเด็กบท7'!G10:G46,""^(\d+)""))))/40*100"),70.0)</f>
        <v>70</v>
      </c>
      <c r="C10" s="16" t="s">
        <v>107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9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5" t="s">
        <v>124</v>
      </c>
      <c r="B12" s="46" t="str">
        <f>TEXT(B6,"0.00")&amp;"/"&amp;TEXT(B10,"0.00")</f>
        <v>98.79/70.00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A1:C1"/>
    <mergeCell ref="A2:C2"/>
    <mergeCell ref="A7:C7"/>
    <mergeCell ref="A11:C11"/>
    <mergeCell ref="B12:C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3" max="3" width="19.63"/>
    <col customWidth="1" min="4" max="4" width="20.5"/>
    <col customWidth="1" min="5" max="5" width="20.75"/>
    <col customWidth="1" min="6" max="6" width="20.38"/>
    <col customWidth="1" min="7" max="7" width="16.25"/>
    <col customWidth="1" min="10" max="10" width="28.13"/>
  </cols>
  <sheetData>
    <row r="1">
      <c r="A1" s="49" t="s">
        <v>265</v>
      </c>
      <c r="B1" s="6"/>
      <c r="C1" s="6"/>
      <c r="D1" s="6"/>
      <c r="E1" s="6"/>
      <c r="F1" s="6"/>
      <c r="G1" s="6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/>
      <c r="B2" s="6"/>
      <c r="C2" s="6"/>
      <c r="D2" s="6"/>
      <c r="E2" s="6"/>
      <c r="F2" s="6"/>
      <c r="G2" s="6"/>
      <c r="H2" s="6"/>
      <c r="I2" s="6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0" t="s">
        <v>266</v>
      </c>
      <c r="B3" s="50" t="s">
        <v>267</v>
      </c>
      <c r="C3" s="50" t="s">
        <v>268</v>
      </c>
      <c r="D3" s="50" t="s">
        <v>269</v>
      </c>
      <c r="E3" s="50" t="s">
        <v>270</v>
      </c>
      <c r="F3" s="50" t="s">
        <v>271</v>
      </c>
      <c r="G3" s="50" t="s">
        <v>272</v>
      </c>
      <c r="H3" s="50" t="s">
        <v>273</v>
      </c>
      <c r="I3" s="50" t="s">
        <v>274</v>
      </c>
      <c r="J3" s="50" t="s">
        <v>275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2" t="s">
        <v>276</v>
      </c>
      <c r="B4" s="27">
        <f>COUNTA('คะแนนเด็กบท6'!F10:F46)</f>
        <v>37</v>
      </c>
      <c r="C4" s="27">
        <f>IFERROR(__xludf.DUMMYFUNCTION("AVERAGE(ARRAYFORMULA(VALUE(REGEXEXTRACT('คะแนนเด็กบท6'!F10:F46,""^(\d+)""))))"),7.0)</f>
        <v>7</v>
      </c>
      <c r="D4" s="27">
        <f>IFERROR(__xludf.DUMMYFUNCTION("STDEV(ARRAYFORMULA(VALUE(REGEXEXTRACT('คะแนนเด็กบท6'!F10:F46,""^(\d+)""))))"),1.972026594366539)</f>
        <v>1.972026594</v>
      </c>
      <c r="E4" s="27">
        <f>IFERROR(__xludf.DUMMYFUNCTION("AVERAGE(ARRAYFORMULA(VALUE(REGEXEXTRACT('คะแนนเด็กบท6'!G10:G46,""^(\d+)""))))"),13.08108108108108)</f>
        <v>13.08108108</v>
      </c>
      <c r="F4" s="27">
        <f>IFERROR(__xludf.DUMMYFUNCTION("STDEV(ARRAYFORMULA(VALUE(REGEXEXTRACT('คะแนนเด็กบท6'!G10:G46,""^(\d+)""))))"),1.9490507430025523)</f>
        <v>1.949050743</v>
      </c>
      <c r="G4" s="27">
        <f t="shared" ref="G4:G6" si="1">E4-C4</f>
        <v>6.081081081</v>
      </c>
      <c r="H4" s="27">
        <f>IFERROR(__xludf.DUMMYFUNCTION("G4/(STDEV(ARRAYFORMULA(VALUE(REGEXEXTRACT('คะแนนเด็กบท6'!G10:G46,""^(\d+)""))-VALUE(REGEXEXTRACT('คะแนนเด็กบท6'!F10:F46,""^(\d+)""))))/SQRT(COUNTA('คะแนนเด็กบท6'!F10:F46)))"),13.0157140429117)</f>
        <v>13.01571404</v>
      </c>
      <c r="I4" s="27">
        <f t="shared" ref="I4:I6" si="2">B4-1</f>
        <v>36</v>
      </c>
      <c r="J4" s="53">
        <f t="shared" ref="J4:J6" si="3">_xlfn.T.DIST.2T(ABS(H4),I4)</f>
        <v>0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2" t="s">
        <v>277</v>
      </c>
      <c r="B5" s="27">
        <f>COUNTA('คะแนนเด็กบท7'!F10:F46)</f>
        <v>37</v>
      </c>
      <c r="C5" s="27">
        <f>IFERROR(__xludf.DUMMYFUNCTION("AVERAGE(ARRAYFORMULA(VALUE(REGEXEXTRACT('คะแนนเด็กบท7'!F10:F46,""^(\d+)""))))"),7.45945945945946)</f>
        <v>7.459459459</v>
      </c>
      <c r="D5" s="27">
        <f>IFERROR(__xludf.DUMMYFUNCTION("STDEV(ARRAYFORMULA(VALUE(REGEXEXTRACT('คะแนนเด็กบท7'!F10:F46,""^(\d+)""))))"),2.5450888938262013)</f>
        <v>2.545088894</v>
      </c>
      <c r="E5" s="27">
        <f>IFERROR(__xludf.DUMMYFUNCTION("AVERAGE(ARRAYFORMULA(VALUE(REGEXEXTRACT('คะแนนเด็กบท7'!G10:G46,""^(\d+)""))))"),14.91891891891892)</f>
        <v>14.91891892</v>
      </c>
      <c r="F5" s="27">
        <f>IFERROR(__xludf.DUMMYFUNCTION("STDEV(ARRAYFORMULA(VALUE(REGEXEXTRACT('คะแนนเด็กบท7'!G10:G46,""^(\d+)""))))"),3.0493931853401266)</f>
        <v>3.049393185</v>
      </c>
      <c r="G5" s="27">
        <f t="shared" si="1"/>
        <v>7.459459459</v>
      </c>
      <c r="H5" s="27">
        <f>IFERROR(__xludf.DUMMYFUNCTION("G5/(STDEV(ARRAYFORMULA(VALUE(REGEXEXTRACT('คะแนนเด็กบท7'!G10:G46,""^(\d+)""))-VALUE(REGEXEXTRACT('คะแนนเด็กบท7'!F10:F46,""^(\d+)""))))/SQRT(B5))"),13.4915345819645)</f>
        <v>13.49153458</v>
      </c>
      <c r="I5" s="27">
        <f t="shared" si="2"/>
        <v>36</v>
      </c>
      <c r="J5" s="53">
        <f t="shared" si="3"/>
        <v>0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2" t="s">
        <v>278</v>
      </c>
      <c r="B6" s="27">
        <f>COUNTA('คะแนนเด็กบท6'!F10:F46)</f>
        <v>37</v>
      </c>
      <c r="C6" s="27">
        <f>IFERROR(__xludf.DUMMYFUNCTION("AVERAGE(ARRAYFORMULA(VALUE(REGEXEXTRACT('คะแนนเด็กบท6'!F10:F46,""^(\d+)""))+VALUE(REGEXEXTRACT('คะแนนเด็กบท7'!F10:F46,""^(\d+)""))))"),14.45945945945946)</f>
        <v>14.45945946</v>
      </c>
      <c r="D6" s="27">
        <f>IFERROR(__xludf.DUMMYFUNCTION("STDEV(ARRAYFORMULA(VALUE(REGEXEXTRACT('คะแนนเด็กบท6'!F10:F46,""^(\d+)""))+VALUE(REGEXEXTRACT('คะแนนเด็กบท7'!F10:F46,""^(\d+)""))))"),3.716289925558932)</f>
        <v>3.716289926</v>
      </c>
      <c r="E6" s="27">
        <f>IFERROR(__xludf.DUMMYFUNCTION("AVERAGE(ARRAYFORMULA(VALUE(REGEXEXTRACT('คะแนนเด็กบท6'!G10:G46,""^(\d+)""))+VALUE(REGEXEXTRACT('คะแนนเด็กบท7'!G10:G46,""^(\d+)""))))"),28.0)</f>
        <v>28</v>
      </c>
      <c r="F6" s="27">
        <f>IFERROR(__xludf.DUMMYFUNCTION("STDEV(ARRAYFORMULA(VALUE(REGEXEXTRACT('คะแนนเด็กบท6'!G10:G46,""^(\d+)""))+VALUE(REGEXEXTRACT('คะแนนเด็กบท7'!G10:G46,""^(\d+)""))))"),3.8873012632302006)</f>
        <v>3.887301263</v>
      </c>
      <c r="G6" s="27">
        <f t="shared" si="1"/>
        <v>13.54054054</v>
      </c>
      <c r="H6" s="27">
        <f>IFERROR(__xludf.DUMMYFUNCTION("G6/(STDEV(ARRAYFORMULA((VALUE(REGEXEXTRACT('คะแนนเด็กบท6'!G10:G46,""^(\d+)""))+VALUE(REGEXEXTRACT('คะแนนเด็กบท7'!G10:G46,""^(\d+)"")))-(VALUE(REGEXEXTRACT('คะแนนเด็กบท6'!F10:F46,""^(\d+)""))+VALUE(REGEXEXTRACT('คะแนนเด็กบท7'!F10:F46,""^(\d+)"")))))/SQRT(B"&amp;"6))"),16.839873684778844)</f>
        <v>16.83987368</v>
      </c>
      <c r="I6" s="27">
        <f t="shared" si="2"/>
        <v>36</v>
      </c>
      <c r="J6" s="53">
        <f t="shared" si="3"/>
        <v>0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10"/>
      <c r="B7" s="6"/>
      <c r="C7" s="6"/>
      <c r="D7" s="6"/>
      <c r="E7" s="6"/>
      <c r="F7" s="6"/>
      <c r="G7" s="6"/>
      <c r="H7" s="6"/>
      <c r="I7" s="6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5" t="s">
        <v>279</v>
      </c>
      <c r="B8" s="56">
        <f>IFERROR(__xludf.DUMMYFUNCTION("G6/STDEV(ARRAYFORMULA((VALUE(REGEXEXTRACT('คะแนนเด็กบท6'!G10:G46,""^(\d+)""))+VALUE(REGEXEXTRACT('คะแนนเด็กบท7'!G10:G46,""^(\d+)"")))-(VALUE(REGEXEXTRACT('คะแนนเด็กบท6'!F10:F46,""^(\d+)""))+VALUE(REGEXEXTRACT('คะแนนเด็กบท7'!F10:F46,""^(\d+)"")))))"),2.7684581801277774)</f>
        <v>2.76845818</v>
      </c>
      <c r="C8" s="6"/>
      <c r="D8" s="6"/>
      <c r="E8" s="6"/>
      <c r="F8" s="6"/>
      <c r="G8" s="6"/>
      <c r="H8" s="6"/>
      <c r="I8" s="6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/>
      <c r="B9" s="6"/>
      <c r="C9" s="6"/>
      <c r="D9" s="6"/>
      <c r="E9" s="6"/>
      <c r="F9" s="6"/>
      <c r="G9" s="6"/>
      <c r="H9" s="6"/>
      <c r="I9" s="6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7" t="s">
        <v>281</v>
      </c>
      <c r="B10" s="6"/>
      <c r="C10" s="6"/>
      <c r="D10" s="6"/>
      <c r="E10" s="6"/>
      <c r="F10" s="6"/>
      <c r="G10" s="6"/>
      <c r="H10" s="6"/>
      <c r="I10" s="6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9" t="str">
        <f>"คะแนนหลังเรียน (X̄="&amp;TEXT(E6,"0.00")&amp;") สูงกว่าก่อนเรียน (X̄="&amp;TEXT(C6,"0.00")&amp;") อย่างมีนัยสำคัญทางสถิติที่ระดับ .05 [t("&amp;I6&amp;")="&amp;TEXT(H6,"0.00")&amp;", p"&amp;IF(J6&lt;0.001,"&lt;.001","="&amp;TEXT(J6,"0.000"))&amp;"]"</f>
        <v>คะแนนหลังเรียน (X̄=28.00) สูงกว่าก่อนเรียน (X̄=14.46) อย่างมีนัยสำคัญทางสถิติที่ระดับ .05 [t(36)=16.84, p&lt;.001]</v>
      </c>
      <c r="B11" s="6"/>
      <c r="C11" s="6"/>
      <c r="D11" s="6"/>
      <c r="E11" s="6"/>
      <c r="F11" s="6"/>
      <c r="G11" s="6"/>
      <c r="H11" s="6"/>
      <c r="I11" s="6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A1:J1"/>
    <mergeCell ref="A2:J2"/>
    <mergeCell ref="A7:J7"/>
    <mergeCell ref="B8:J8"/>
    <mergeCell ref="A9:J9"/>
    <mergeCell ref="A10:J10"/>
    <mergeCell ref="A11:J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0"/>
  <cols>
    <col customWidth="1" min="1" max="1" width="50.5"/>
    <col customWidth="1" min="5" max="5" width="17.0"/>
  </cols>
  <sheetData>
    <row r="1">
      <c r="A1" s="58" t="s">
        <v>280</v>
      </c>
      <c r="B1" s="6"/>
      <c r="C1" s="6"/>
      <c r="D1" s="6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/>
      <c r="B2" s="6"/>
      <c r="C2" s="6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9" t="s">
        <v>282</v>
      </c>
      <c r="B3" s="59" t="s">
        <v>267</v>
      </c>
      <c r="C3" s="59" t="s">
        <v>283</v>
      </c>
      <c r="D3" s="59" t="s">
        <v>284</v>
      </c>
      <c r="E3" s="59" t="s">
        <v>285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2" t="s">
        <v>286</v>
      </c>
      <c r="B4" s="60">
        <f>COUNTA('แบบประเมินด้านเทคนิคและการออกแบ'!B2:B4)</f>
        <v>3</v>
      </c>
      <c r="C4" s="27">
        <f>AVERAGE('แบบประเมินด้านเทคนิคและการออกแบ'!C2:E4)</f>
        <v>4.555555556</v>
      </c>
      <c r="D4" s="27">
        <f t="array" ref="D4">STDEV(VSTACK('แบบประเมินด้านเทคนิคและการออกแบ'!C2:C4,'แบบประเมินด้านเทคนิคและการออกแบ'!D2:D4,'แบบประเมินด้านเทคนิคและการออกแบ'!E2:E4))</f>
        <v>0.5270462767</v>
      </c>
      <c r="E4" s="27" t="str">
        <f t="shared" ref="E4:E8" si="1">IFS(C4&gt;=4.51,"มากที่สุด",C4&gt;=3.51,"มาก",C4&gt;=2.51,"ปานกลาง",C4&gt;=1.51,"น้อย",TRUE,"น้อยที่สุด")</f>
        <v>มากที่สุด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2" t="s">
        <v>287</v>
      </c>
      <c r="B5" s="60">
        <f>COUNTA('แบบประเมินด้านเทคนิคและการออกแบ'!B2:B4)</f>
        <v>3</v>
      </c>
      <c r="C5" s="27">
        <f>AVERAGE('แบบประเมินด้านเทคนิคและการออกแบ'!F2:H4)</f>
        <v>4.555555556</v>
      </c>
      <c r="D5" s="27">
        <f t="array" ref="D5">STDEV(VSTACK('แบบประเมินด้านเทคนิคและการออกแบ'!F2:F4,'แบบประเมินด้านเทคนิคและการออกแบ'!G2:G4,'แบบประเมินด้านเทคนิคและการออกแบ'!H2:H4))</f>
        <v>0.7264831573</v>
      </c>
      <c r="E5" s="27" t="str">
        <f t="shared" si="1"/>
        <v>มากที่สุด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2" t="s">
        <v>288</v>
      </c>
      <c r="B6" s="60">
        <f>COUNTA('แบบประเมินด้านเทคนิคและการออกแบ'!B2:B4)</f>
        <v>3</v>
      </c>
      <c r="C6" s="27">
        <f>AVERAGE('แบบประเมินด้านเทคนิคและการออกแบ'!I2:K4)</f>
        <v>4.666666667</v>
      </c>
      <c r="D6" s="27">
        <f t="array" ref="D6">STDEV(VSTACK('แบบประเมินด้านเทคนิคและการออกแบ'!I2:I4,'แบบประเมินด้านเทคนิคและการออกแบ'!J2:J4,'แบบประเมินด้านเทคนิคและการออกแบ'!K2:K4))</f>
        <v>0.5</v>
      </c>
      <c r="E6" s="27" t="str">
        <f t="shared" si="1"/>
        <v>มากที่สุด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2" t="s">
        <v>289</v>
      </c>
      <c r="B7" s="60">
        <f>COUNTA('แบบประเมินด้านเทคนิคและการออกแบ'!B2:B4)</f>
        <v>3</v>
      </c>
      <c r="C7" s="27">
        <f>AVERAGE('แบบประเมินด้านเทคนิคและการออกแบ'!L2:N4)</f>
        <v>4.555555556</v>
      </c>
      <c r="D7" s="27">
        <f t="array" ref="D7">STDEV(VSTACK('แบบประเมินด้านเทคนิคและการออกแบ'!L2:L4,'แบบประเมินด้านเทคนิคและการออกแบ'!M2:M4,'แบบประเมินด้านเทคนิคและการออกแบ'!N2:N4))</f>
        <v>0.5270462767</v>
      </c>
      <c r="E7" s="27" t="str">
        <f t="shared" si="1"/>
        <v>มากที่สุด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1" t="s">
        <v>290</v>
      </c>
      <c r="B8" s="62">
        <f>COUNTA('แบบประเมินด้านเทคนิคและการออกแบ'!B2:B4)</f>
        <v>3</v>
      </c>
      <c r="C8" s="63">
        <f>AVERAGE('แบบประเมินด้านเทคนิคและการออกแบ'!C2:N4)</f>
        <v>4.583333333</v>
      </c>
      <c r="D8" s="63">
        <f>STDEV('แบบประเมินด้านเทคนิคและการออกแบ'!C2:N4)</f>
        <v>0.5542047069</v>
      </c>
      <c r="E8" s="63" t="str">
        <f t="shared" si="1"/>
        <v>มากที่สุด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E1"/>
    <mergeCell ref="A2:E2"/>
  </mergeCells>
  <drawing r:id="rId1"/>
</worksheet>
</file>